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ritzer/Desktop/Nigh old docs/"/>
    </mc:Choice>
  </mc:AlternateContent>
  <xr:revisionPtr revIDLastSave="0" documentId="8_{A3362F8C-E688-584A-BE7B-AC90363E5FBF}" xr6:coauthVersionLast="47" xr6:coauthVersionMax="47" xr10:uidLastSave="{00000000-0000-0000-0000-000000000000}"/>
  <bookViews>
    <workbookView xWindow="1100" yWindow="2760" windowWidth="30580" windowHeight="17440" xr2:uid="{A40E5371-8F42-D843-B1FB-E01731CF5B94}"/>
  </bookViews>
  <sheets>
    <sheet name="Acquisition" sheetId="36" r:id="rId1"/>
    <sheet name=" Inputs" sheetId="9" r:id="rId2"/>
    <sheet name="Summary" sheetId="7" r:id="rId3"/>
    <sheet name="Subscription" sheetId="37" r:id="rId4"/>
    <sheet name="Transactions" sheetId="34" r:id="rId5"/>
    <sheet name="Subscriptions" sheetId="35" r:id="rId6"/>
    <sheet name="Expenses Yr1-2" sheetId="19" r:id="rId7"/>
    <sheet name="Headcount Yr1-2" sheetId="33" r:id="rId8"/>
    <sheet name="Charts" sheetId="31" r:id="rId9"/>
    <sheet name="Merchants" sheetId="22" r:id="rId10"/>
    <sheet name="Users" sheetId="25" r:id="rId11"/>
    <sheet name="MSAs" sheetId="24" r:id="rId12"/>
  </sheets>
  <definedNames>
    <definedName name="churn1">' Inputs'!$C$9</definedName>
    <definedName name="churn2">' Inputs'!$D$9</definedName>
    <definedName name="churn3">' Inputs'!$E$9</definedName>
    <definedName name="churn4">' Inputs'!$F$9</definedName>
    <definedName name="churn5">' Inputs'!$G$9</definedName>
    <definedName name="churn6">' Inputs'!$H$9</definedName>
    <definedName name="churn7">' Inputs'!$I$9</definedName>
    <definedName name="_xlnm.Print_Area" localSheetId="0">Acquisition!$A$1:$A$51</definedName>
    <definedName name="_xlnm.Print_Area" localSheetId="5">Subscriptions!$A$1:$H$58</definedName>
    <definedName name="_xlnm.Print_Area" localSheetId="2">Summary!$A$1:$H$44</definedName>
    <definedName name="_xlnm.Print_Area" localSheetId="4">Transactions!$A$1:$H$20</definedName>
    <definedName name="_xlnm.Print_Titles" localSheetId="0">Acquisition!$A:$A,Acquisition!$1:$2</definedName>
    <definedName name="_xlnm.Print_Titles" localSheetId="5">Subscriptions!$A:$A,Subscriptions!$1:$2</definedName>
    <definedName name="_xlnm.Print_Titles" localSheetId="2">Summary!$A:$A,Summary!$1:$2</definedName>
    <definedName name="_xlnm.Print_Titles" localSheetId="4">Transactions!$A:$A,Transactions!$1:$2</definedName>
    <definedName name="users_y1">Users!$D$26</definedName>
    <definedName name="users_y2">Users!$E$26</definedName>
    <definedName name="users_y3">Users!$F$26</definedName>
    <definedName name="users_y4">Users!$G$26</definedName>
    <definedName name="users_y5">Users!$H$26</definedName>
    <definedName name="users_y6">Users!$I$26</definedName>
    <definedName name="users_y7">Users!$J$26</definedName>
    <definedName name="Weeks">' Inputs'!$K$2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7" l="1"/>
  <c r="J2" i="24"/>
  <c r="M5" i="22"/>
  <c r="F3" i="25"/>
  <c r="G3" i="25" s="1"/>
  <c r="E15" i="25"/>
  <c r="F15" i="25"/>
  <c r="D15" i="25"/>
  <c r="E14" i="22"/>
  <c r="F14" i="22"/>
  <c r="G14" i="22"/>
  <c r="H14" i="22"/>
  <c r="I14" i="22"/>
  <c r="J14" i="22"/>
  <c r="D14" i="22"/>
  <c r="E3" i="25"/>
  <c r="F3" i="22"/>
  <c r="G3" i="22" s="1"/>
  <c r="H3" i="22" s="1"/>
  <c r="I3" i="22" s="1"/>
  <c r="J3" i="22" s="1"/>
  <c r="E3" i="22"/>
  <c r="C7" i="36"/>
  <c r="C9" i="36" s="1"/>
  <c r="C10" i="36" s="1"/>
  <c r="D7" i="36"/>
  <c r="D9" i="36" s="1"/>
  <c r="D10" i="36" s="1"/>
  <c r="E7" i="36"/>
  <c r="F7" i="36"/>
  <c r="G7" i="36"/>
  <c r="G9" i="36" s="1"/>
  <c r="H7" i="36"/>
  <c r="H9" i="36" s="1"/>
  <c r="H10" i="36" s="1"/>
  <c r="I7" i="36"/>
  <c r="J7" i="36"/>
  <c r="J9" i="36" s="1"/>
  <c r="J10" i="36" s="1"/>
  <c r="J13" i="36" s="1"/>
  <c r="K7" i="36"/>
  <c r="L7" i="36"/>
  <c r="M7" i="36"/>
  <c r="N7" i="36"/>
  <c r="O7" i="36"/>
  <c r="O9" i="36" s="1"/>
  <c r="O10" i="36" s="1"/>
  <c r="O13" i="36" s="1"/>
  <c r="P7" i="36"/>
  <c r="P9" i="36" s="1"/>
  <c r="P10" i="36" s="1"/>
  <c r="P13" i="36" s="1"/>
  <c r="Q7" i="36"/>
  <c r="Q9" i="36" s="1"/>
  <c r="R7" i="36"/>
  <c r="S7" i="36"/>
  <c r="S9" i="36" s="1"/>
  <c r="T7" i="36"/>
  <c r="T9" i="36" s="1"/>
  <c r="T10" i="36" s="1"/>
  <c r="U7" i="36"/>
  <c r="U9" i="36" s="1"/>
  <c r="U10" i="36" s="1"/>
  <c r="V7" i="36"/>
  <c r="V9" i="36" s="1"/>
  <c r="V10" i="36" s="1"/>
  <c r="W7" i="36"/>
  <c r="W9" i="36" s="1"/>
  <c r="W10" i="36" s="1"/>
  <c r="X7" i="36"/>
  <c r="X9" i="36" s="1"/>
  <c r="X10" i="36" s="1"/>
  <c r="Y7" i="36"/>
  <c r="Z7" i="36"/>
  <c r="AA7" i="36"/>
  <c r="AB7" i="36"/>
  <c r="AB9" i="36" s="1"/>
  <c r="AC7" i="36"/>
  <c r="AC9" i="36" s="1"/>
  <c r="AD7" i="36"/>
  <c r="AE7" i="36"/>
  <c r="AE9" i="36" s="1"/>
  <c r="AF7" i="36"/>
  <c r="AF9" i="36" s="1"/>
  <c r="AF10" i="36" s="1"/>
  <c r="AG7" i="36"/>
  <c r="AG9" i="36" s="1"/>
  <c r="AG10" i="36" s="1"/>
  <c r="AH7" i="36"/>
  <c r="AH9" i="36" s="1"/>
  <c r="AI7" i="36"/>
  <c r="AI9" i="36" s="1"/>
  <c r="AJ7" i="36"/>
  <c r="AK7" i="36"/>
  <c r="AL7" i="36"/>
  <c r="AM7" i="36"/>
  <c r="AM9" i="36" s="1"/>
  <c r="AM10" i="36" s="1"/>
  <c r="AN7" i="36"/>
  <c r="AN9" i="36" s="1"/>
  <c r="AN10" i="36" s="1"/>
  <c r="AN13" i="36" s="1"/>
  <c r="AO7" i="36"/>
  <c r="AO9" i="36" s="1"/>
  <c r="AP7" i="36"/>
  <c r="AQ7" i="36"/>
  <c r="AQ9" i="36" s="1"/>
  <c r="AR7" i="36"/>
  <c r="AR9" i="36" s="1"/>
  <c r="AS7" i="36"/>
  <c r="AS9" i="36" s="1"/>
  <c r="AT7" i="36"/>
  <c r="AU7" i="36"/>
  <c r="AV7" i="36"/>
  <c r="AW7" i="36"/>
  <c r="AX7" i="36"/>
  <c r="AY7" i="36"/>
  <c r="AY9" i="36" s="1"/>
  <c r="AY10" i="36" s="1"/>
  <c r="AZ7" i="36"/>
  <c r="AZ9" i="36" s="1"/>
  <c r="AZ10" i="36" s="1"/>
  <c r="AZ13" i="36" s="1"/>
  <c r="BA7" i="36"/>
  <c r="BA9" i="36" s="1"/>
  <c r="BB7" i="36"/>
  <c r="BC7" i="36"/>
  <c r="BC9" i="36" s="1"/>
  <c r="BD7" i="36"/>
  <c r="BD9" i="36" s="1"/>
  <c r="BD10" i="36" s="1"/>
  <c r="BE7" i="36"/>
  <c r="BE9" i="36" s="1"/>
  <c r="BE10" i="36" s="1"/>
  <c r="BF7" i="36"/>
  <c r="BG7" i="36"/>
  <c r="BH7" i="36"/>
  <c r="BI7" i="36"/>
  <c r="BI9" i="36" s="1"/>
  <c r="BJ7" i="36"/>
  <c r="BJ9" i="36" s="1"/>
  <c r="BK7" i="36"/>
  <c r="BL7" i="36"/>
  <c r="BL9" i="36" s="1"/>
  <c r="BL10" i="36" s="1"/>
  <c r="BL13" i="36" s="1"/>
  <c r="BM7" i="36"/>
  <c r="BM9" i="36" s="1"/>
  <c r="BN7" i="36"/>
  <c r="BO7" i="36"/>
  <c r="BO9" i="36" s="1"/>
  <c r="BP7" i="36"/>
  <c r="BP9" i="36" s="1"/>
  <c r="BP10" i="36" s="1"/>
  <c r="BQ7" i="36"/>
  <c r="BR7" i="36"/>
  <c r="BR9" i="36" s="1"/>
  <c r="BS7" i="36"/>
  <c r="BS9" i="36" s="1"/>
  <c r="BT7" i="36"/>
  <c r="BT9" i="36" s="1"/>
  <c r="BU7" i="36"/>
  <c r="BV7" i="36"/>
  <c r="BW7" i="36"/>
  <c r="BW9" i="36" s="1"/>
  <c r="BW10" i="36" s="1"/>
  <c r="BW13" i="36" s="1"/>
  <c r="BX7" i="36"/>
  <c r="BX9" i="36" s="1"/>
  <c r="BX10" i="36" s="1"/>
  <c r="BX13" i="36" s="1"/>
  <c r="BY7" i="36"/>
  <c r="BY9" i="36" s="1"/>
  <c r="BZ7" i="36"/>
  <c r="CA7" i="36"/>
  <c r="CB7" i="36"/>
  <c r="CB9" i="36" s="1"/>
  <c r="CB10" i="36" s="1"/>
  <c r="CC7" i="36"/>
  <c r="CC9" i="36" s="1"/>
  <c r="CC10" i="36" s="1"/>
  <c r="CD7" i="36"/>
  <c r="CD9" i="36" s="1"/>
  <c r="CD10" i="36" s="1"/>
  <c r="CE7" i="36"/>
  <c r="CE9" i="36" s="1"/>
  <c r="CE10" i="36" s="1"/>
  <c r="CF7" i="36"/>
  <c r="CG7" i="36"/>
  <c r="AA9" i="36"/>
  <c r="AA10" i="36" s="1"/>
  <c r="AT9" i="36"/>
  <c r="AT10" i="36" s="1"/>
  <c r="BK9" i="36"/>
  <c r="BK10" i="36" s="1"/>
  <c r="C20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O25" i="36" s="1"/>
  <c r="O26" i="36" s="1"/>
  <c r="P20" i="36"/>
  <c r="Q20" i="36"/>
  <c r="R20" i="36"/>
  <c r="S20" i="36"/>
  <c r="T20" i="36"/>
  <c r="U20" i="36"/>
  <c r="V20" i="36"/>
  <c r="W20" i="36"/>
  <c r="X20" i="36"/>
  <c r="Y20" i="36"/>
  <c r="Z20" i="36"/>
  <c r="AA20" i="36"/>
  <c r="AA25" i="36" s="1"/>
  <c r="AA26" i="36" s="1"/>
  <c r="AB20" i="36"/>
  <c r="AC20" i="36"/>
  <c r="AD20" i="36"/>
  <c r="AE20" i="36"/>
  <c r="AF20" i="36"/>
  <c r="AG20" i="36"/>
  <c r="AH20" i="36"/>
  <c r="AI20" i="36"/>
  <c r="AJ20" i="36"/>
  <c r="AK20" i="36"/>
  <c r="AL20" i="36"/>
  <c r="AM20" i="36"/>
  <c r="AN20" i="36"/>
  <c r="AO20" i="36"/>
  <c r="AP20" i="36"/>
  <c r="AQ20" i="36"/>
  <c r="AR20" i="36"/>
  <c r="AS20" i="36"/>
  <c r="AT20" i="36"/>
  <c r="AU20" i="36"/>
  <c r="AV20" i="36"/>
  <c r="AW20" i="36"/>
  <c r="AX20" i="36"/>
  <c r="AY20" i="36"/>
  <c r="AY25" i="36" s="1"/>
  <c r="AY26" i="36" s="1"/>
  <c r="AZ20" i="36"/>
  <c r="BA20" i="36"/>
  <c r="BB20" i="36"/>
  <c r="BC20" i="36"/>
  <c r="BD20" i="36"/>
  <c r="BE20" i="36"/>
  <c r="BF20" i="36"/>
  <c r="BG20" i="36"/>
  <c r="BH20" i="36"/>
  <c r="BI20" i="36"/>
  <c r="BJ20" i="36"/>
  <c r="BK20" i="36"/>
  <c r="BK25" i="36" s="1"/>
  <c r="BK26" i="36" s="1"/>
  <c r="BL20" i="36"/>
  <c r="BM20" i="36"/>
  <c r="BN20" i="36"/>
  <c r="BO20" i="36"/>
  <c r="BP20" i="36"/>
  <c r="BQ20" i="36"/>
  <c r="BR20" i="36"/>
  <c r="BS20" i="36"/>
  <c r="BT20" i="36"/>
  <c r="BU20" i="36"/>
  <c r="BV20" i="36"/>
  <c r="BW20" i="36"/>
  <c r="BW25" i="36" s="1"/>
  <c r="BW26" i="36" s="1"/>
  <c r="BX20" i="36"/>
  <c r="BY20" i="36"/>
  <c r="BZ20" i="36"/>
  <c r="CA20" i="36"/>
  <c r="CB20" i="36"/>
  <c r="CC20" i="36"/>
  <c r="CD20" i="36"/>
  <c r="CE20" i="36"/>
  <c r="CF20" i="36"/>
  <c r="CG20" i="36"/>
  <c r="C24" i="36"/>
  <c r="D24" i="36"/>
  <c r="E24" i="36"/>
  <c r="F24" i="36"/>
  <c r="G24" i="36"/>
  <c r="H24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V24" i="36"/>
  <c r="W24" i="36"/>
  <c r="X24" i="36"/>
  <c r="Y24" i="36"/>
  <c r="Z24" i="36"/>
  <c r="AA24" i="36"/>
  <c r="AB24" i="36"/>
  <c r="AC24" i="36"/>
  <c r="AD24" i="36"/>
  <c r="AE24" i="36"/>
  <c r="AF24" i="36"/>
  <c r="AG24" i="36"/>
  <c r="AH24" i="36"/>
  <c r="AI24" i="36"/>
  <c r="AJ24" i="36"/>
  <c r="AK24" i="36"/>
  <c r="AL24" i="36"/>
  <c r="AM24" i="36"/>
  <c r="AN24" i="36"/>
  <c r="AO24" i="36"/>
  <c r="AP24" i="36"/>
  <c r="AQ24" i="36"/>
  <c r="AR24" i="36"/>
  <c r="AS24" i="36"/>
  <c r="AT24" i="36"/>
  <c r="AU24" i="36"/>
  <c r="AV24" i="36"/>
  <c r="AW24" i="36"/>
  <c r="AX24" i="36"/>
  <c r="AY24" i="36"/>
  <c r="AZ24" i="36"/>
  <c r="BA24" i="36"/>
  <c r="BB24" i="36"/>
  <c r="BC24" i="36"/>
  <c r="BD24" i="36"/>
  <c r="BE24" i="36"/>
  <c r="BF24" i="36"/>
  <c r="BG24" i="36"/>
  <c r="BH24" i="36"/>
  <c r="BI24" i="36"/>
  <c r="BJ24" i="36"/>
  <c r="BK24" i="36"/>
  <c r="BL24" i="36"/>
  <c r="BM24" i="36"/>
  <c r="BN24" i="36"/>
  <c r="BO24" i="36"/>
  <c r="BP24" i="36"/>
  <c r="BQ24" i="36"/>
  <c r="BR24" i="36"/>
  <c r="BS24" i="36"/>
  <c r="BT24" i="36"/>
  <c r="BU24" i="36"/>
  <c r="BV24" i="36"/>
  <c r="BW24" i="36"/>
  <c r="BX24" i="36"/>
  <c r="BY24" i="36"/>
  <c r="BZ24" i="36"/>
  <c r="CA24" i="36"/>
  <c r="CB24" i="36"/>
  <c r="CC24" i="36"/>
  <c r="CD24" i="36"/>
  <c r="CE24" i="36"/>
  <c r="CF24" i="36"/>
  <c r="CG24" i="36"/>
  <c r="CF25" i="36"/>
  <c r="CF26" i="36" s="1"/>
  <c r="C33" i="36"/>
  <c r="C35" i="36" s="1"/>
  <c r="C36" i="36" s="1"/>
  <c r="D33" i="36"/>
  <c r="D35" i="36" s="1"/>
  <c r="D36" i="36" s="1"/>
  <c r="E33" i="36"/>
  <c r="E35" i="36" s="1"/>
  <c r="E36" i="36" s="1"/>
  <c r="F33" i="36"/>
  <c r="F35" i="36" s="1"/>
  <c r="F36" i="36" s="1"/>
  <c r="G33" i="36"/>
  <c r="G35" i="36" s="1"/>
  <c r="G36" i="36" s="1"/>
  <c r="H33" i="36"/>
  <c r="H35" i="36" s="1"/>
  <c r="H36" i="36" s="1"/>
  <c r="H39" i="36" s="1"/>
  <c r="I33" i="36"/>
  <c r="J33" i="36"/>
  <c r="K33" i="36"/>
  <c r="K35" i="36" s="1"/>
  <c r="K36" i="36" s="1"/>
  <c r="K39" i="36" s="1"/>
  <c r="L33" i="36"/>
  <c r="L35" i="36" s="1"/>
  <c r="L36" i="36" s="1"/>
  <c r="L39" i="36" s="1"/>
  <c r="M33" i="36"/>
  <c r="M35" i="36" s="1"/>
  <c r="M36" i="36" s="1"/>
  <c r="M39" i="36" s="1"/>
  <c r="N33" i="36"/>
  <c r="N35" i="36" s="1"/>
  <c r="N36" i="36" s="1"/>
  <c r="O33" i="36"/>
  <c r="O35" i="36" s="1"/>
  <c r="O36" i="36" s="1"/>
  <c r="O39" i="36" s="1"/>
  <c r="P33" i="36"/>
  <c r="P35" i="36" s="1"/>
  <c r="P36" i="36" s="1"/>
  <c r="Q33" i="36"/>
  <c r="Q35" i="36" s="1"/>
  <c r="Q36" i="36" s="1"/>
  <c r="R33" i="36"/>
  <c r="R35" i="36" s="1"/>
  <c r="R36" i="36" s="1"/>
  <c r="R39" i="36" s="1"/>
  <c r="S33" i="36"/>
  <c r="S35" i="36" s="1"/>
  <c r="S36" i="36" s="1"/>
  <c r="T33" i="36"/>
  <c r="T35" i="36" s="1"/>
  <c r="T36" i="36" s="1"/>
  <c r="U33" i="36"/>
  <c r="U35" i="36" s="1"/>
  <c r="U36" i="36" s="1"/>
  <c r="U39" i="36" s="1"/>
  <c r="V33" i="36"/>
  <c r="V35" i="36" s="1"/>
  <c r="V36" i="36" s="1"/>
  <c r="W33" i="36"/>
  <c r="W35" i="36" s="1"/>
  <c r="W36" i="36" s="1"/>
  <c r="W39" i="36" s="1"/>
  <c r="X33" i="36"/>
  <c r="X35" i="36" s="1"/>
  <c r="X36" i="36" s="1"/>
  <c r="X39" i="36" s="1"/>
  <c r="Y33" i="36"/>
  <c r="Y35" i="36" s="1"/>
  <c r="Y36" i="36" s="1"/>
  <c r="Y39" i="36" s="1"/>
  <c r="Z33" i="36"/>
  <c r="Z35" i="36" s="1"/>
  <c r="Z36" i="36" s="1"/>
  <c r="Z39" i="36" s="1"/>
  <c r="AA33" i="36"/>
  <c r="AA35" i="36" s="1"/>
  <c r="AA36" i="36" s="1"/>
  <c r="AA39" i="36" s="1"/>
  <c r="AB33" i="36"/>
  <c r="AB35" i="36" s="1"/>
  <c r="AB36" i="36" s="1"/>
  <c r="AB39" i="36" s="1"/>
  <c r="AC33" i="36"/>
  <c r="AC35" i="36" s="1"/>
  <c r="AC36" i="36" s="1"/>
  <c r="AC39" i="36" s="1"/>
  <c r="AD33" i="36"/>
  <c r="AD35" i="36" s="1"/>
  <c r="AD36" i="36" s="1"/>
  <c r="AE33" i="36"/>
  <c r="AE35" i="36" s="1"/>
  <c r="AE36" i="36" s="1"/>
  <c r="AF33" i="36"/>
  <c r="AF35" i="36" s="1"/>
  <c r="AF36" i="36" s="1"/>
  <c r="AG33" i="36"/>
  <c r="AH33" i="36"/>
  <c r="AH35" i="36" s="1"/>
  <c r="AH36" i="36" s="1"/>
  <c r="AI33" i="36"/>
  <c r="AI35" i="36" s="1"/>
  <c r="AI36" i="36" s="1"/>
  <c r="AJ33" i="36"/>
  <c r="AJ35" i="36" s="1"/>
  <c r="AJ36" i="36" s="1"/>
  <c r="AJ39" i="36" s="1"/>
  <c r="AK33" i="36"/>
  <c r="AK35" i="36" s="1"/>
  <c r="AK36" i="36" s="1"/>
  <c r="AK39" i="36" s="1"/>
  <c r="AL33" i="36"/>
  <c r="AL35" i="36" s="1"/>
  <c r="AL36" i="36" s="1"/>
  <c r="AL39" i="36" s="1"/>
  <c r="AM33" i="36"/>
  <c r="AM35" i="36" s="1"/>
  <c r="AM36" i="36" s="1"/>
  <c r="AN33" i="36"/>
  <c r="AN35" i="36" s="1"/>
  <c r="AN36" i="36" s="1"/>
  <c r="AN39" i="36" s="1"/>
  <c r="AO33" i="36"/>
  <c r="AO35" i="36" s="1"/>
  <c r="AO36" i="36" s="1"/>
  <c r="AO39" i="36" s="1"/>
  <c r="AP33" i="36"/>
  <c r="AP35" i="36" s="1"/>
  <c r="AP36" i="36" s="1"/>
  <c r="AQ33" i="36"/>
  <c r="AQ35" i="36" s="1"/>
  <c r="AQ36" i="36" s="1"/>
  <c r="AQ39" i="36" s="1"/>
  <c r="AR33" i="36"/>
  <c r="AR35" i="36" s="1"/>
  <c r="AR36" i="36" s="1"/>
  <c r="AR39" i="36" s="1"/>
  <c r="AS33" i="36"/>
  <c r="AT33" i="36"/>
  <c r="AT35" i="36" s="1"/>
  <c r="AT36" i="36" s="1"/>
  <c r="AT39" i="36" s="1"/>
  <c r="AU33" i="36"/>
  <c r="AU35" i="36" s="1"/>
  <c r="AU36" i="36" s="1"/>
  <c r="AV33" i="36"/>
  <c r="AV35" i="36" s="1"/>
  <c r="AV36" i="36" s="1"/>
  <c r="AW33" i="36"/>
  <c r="AW35" i="36" s="1"/>
  <c r="AW36" i="36" s="1"/>
  <c r="AW39" i="36" s="1"/>
  <c r="AX33" i="36"/>
  <c r="AX35" i="36" s="1"/>
  <c r="AX36" i="36" s="1"/>
  <c r="AY33" i="36"/>
  <c r="AY35" i="36" s="1"/>
  <c r="AY36" i="36" s="1"/>
  <c r="AZ33" i="36"/>
  <c r="AZ35" i="36" s="1"/>
  <c r="AZ36" i="36" s="1"/>
  <c r="BA33" i="36"/>
  <c r="BA35" i="36" s="1"/>
  <c r="BA36" i="36" s="1"/>
  <c r="BB33" i="36"/>
  <c r="BB35" i="36" s="1"/>
  <c r="BB36" i="36" s="1"/>
  <c r="BC33" i="36"/>
  <c r="BC35" i="36" s="1"/>
  <c r="BC36" i="36" s="1"/>
  <c r="BD33" i="36"/>
  <c r="BD35" i="36" s="1"/>
  <c r="BD36" i="36" s="1"/>
  <c r="BE33" i="36"/>
  <c r="BE35" i="36" s="1"/>
  <c r="BE36" i="36" s="1"/>
  <c r="BF33" i="36"/>
  <c r="BF35" i="36" s="1"/>
  <c r="BF36" i="36" s="1"/>
  <c r="BF39" i="36" s="1"/>
  <c r="BG33" i="36"/>
  <c r="BG35" i="36" s="1"/>
  <c r="BG36" i="36" s="1"/>
  <c r="BG39" i="36" s="1"/>
  <c r="BH33" i="36"/>
  <c r="BH35" i="36" s="1"/>
  <c r="BH36" i="36" s="1"/>
  <c r="BH39" i="36" s="1"/>
  <c r="BI33" i="36"/>
  <c r="BI35" i="36" s="1"/>
  <c r="BI36" i="36" s="1"/>
  <c r="BI39" i="36" s="1"/>
  <c r="BJ33" i="36"/>
  <c r="BJ35" i="36" s="1"/>
  <c r="BJ36" i="36" s="1"/>
  <c r="BK33" i="36"/>
  <c r="BK35" i="36" s="1"/>
  <c r="BK36" i="36" s="1"/>
  <c r="BK39" i="36" s="1"/>
  <c r="BL33" i="36"/>
  <c r="BL35" i="36" s="1"/>
  <c r="BL36" i="36" s="1"/>
  <c r="BM33" i="36"/>
  <c r="BM35" i="36" s="1"/>
  <c r="BM36" i="36" s="1"/>
  <c r="BM39" i="36" s="1"/>
  <c r="BN33" i="36"/>
  <c r="BN35" i="36" s="1"/>
  <c r="BN36" i="36" s="1"/>
  <c r="BN39" i="36" s="1"/>
  <c r="BO33" i="36"/>
  <c r="BO35" i="36" s="1"/>
  <c r="BO36" i="36" s="1"/>
  <c r="BP33" i="36"/>
  <c r="BP35" i="36" s="1"/>
  <c r="BP36" i="36" s="1"/>
  <c r="BQ33" i="36"/>
  <c r="BQ35" i="36" s="1"/>
  <c r="BR33" i="36"/>
  <c r="BR35" i="36" s="1"/>
  <c r="BS33" i="36"/>
  <c r="BS35" i="36" s="1"/>
  <c r="BS36" i="36" s="1"/>
  <c r="BS39" i="36" s="1"/>
  <c r="BT33" i="36"/>
  <c r="BU33" i="36"/>
  <c r="BU35" i="36" s="1"/>
  <c r="BU36" i="36" s="1"/>
  <c r="BU39" i="36" s="1"/>
  <c r="BV33" i="36"/>
  <c r="BV35" i="36" s="1"/>
  <c r="BV36" i="36" s="1"/>
  <c r="BV39" i="36" s="1"/>
  <c r="BW33" i="36"/>
  <c r="BW35" i="36" s="1"/>
  <c r="BW36" i="36" s="1"/>
  <c r="BX33" i="36"/>
  <c r="BX35" i="36" s="1"/>
  <c r="BX36" i="36" s="1"/>
  <c r="BY33" i="36"/>
  <c r="BY35" i="36" s="1"/>
  <c r="BY36" i="36" s="1"/>
  <c r="BY39" i="36" s="1"/>
  <c r="BZ33" i="36"/>
  <c r="BZ35" i="36" s="1"/>
  <c r="BZ36" i="36" s="1"/>
  <c r="BZ39" i="36" s="1"/>
  <c r="CA33" i="36"/>
  <c r="CA35" i="36" s="1"/>
  <c r="CA36" i="36" s="1"/>
  <c r="CB33" i="36"/>
  <c r="CB35" i="36" s="1"/>
  <c r="CB36" i="36" s="1"/>
  <c r="CC33" i="36"/>
  <c r="CD33" i="36"/>
  <c r="CD35" i="36" s="1"/>
  <c r="CD36" i="36" s="1"/>
  <c r="CE33" i="36"/>
  <c r="CE35" i="36" s="1"/>
  <c r="CE36" i="36" s="1"/>
  <c r="CF33" i="36"/>
  <c r="CF35" i="36" s="1"/>
  <c r="CF36" i="36" s="1"/>
  <c r="CF39" i="36" s="1"/>
  <c r="CG33" i="36"/>
  <c r="CG35" i="36" s="1"/>
  <c r="CG36" i="36" s="1"/>
  <c r="CG39" i="36" s="1"/>
  <c r="I35" i="36"/>
  <c r="I36" i="36" s="1"/>
  <c r="I39" i="36" s="1"/>
  <c r="J35" i="36"/>
  <c r="J36" i="36" s="1"/>
  <c r="J39" i="36" s="1"/>
  <c r="AG35" i="36"/>
  <c r="AG36" i="36" s="1"/>
  <c r="AG39" i="36" s="1"/>
  <c r="AS35" i="36"/>
  <c r="AS36" i="36" s="1"/>
  <c r="AS39" i="36" s="1"/>
  <c r="BT35" i="36"/>
  <c r="BT36" i="36" s="1"/>
  <c r="BT39" i="36" s="1"/>
  <c r="CC35" i="36"/>
  <c r="CC36" i="36" s="1"/>
  <c r="BQ36" i="36"/>
  <c r="BR36" i="36"/>
  <c r="B33" i="36"/>
  <c r="B35" i="36" s="1"/>
  <c r="B36" i="36" s="1"/>
  <c r="B39" i="36" s="1"/>
  <c r="B41" i="36" s="1"/>
  <c r="L25" i="36" l="1"/>
  <c r="L26" i="36" s="1"/>
  <c r="BP25" i="36"/>
  <c r="BP26" i="36" s="1"/>
  <c r="AF25" i="36"/>
  <c r="AF26" i="36" s="1"/>
  <c r="CB25" i="36"/>
  <c r="CB26" i="36" s="1"/>
  <c r="AR25" i="36"/>
  <c r="AR26" i="36" s="1"/>
  <c r="T25" i="36"/>
  <c r="T26" i="36" s="1"/>
  <c r="AM25" i="36"/>
  <c r="AM26" i="36" s="1"/>
  <c r="BV25" i="36"/>
  <c r="BV26" i="36" s="1"/>
  <c r="AX25" i="36"/>
  <c r="AX26" i="36" s="1"/>
  <c r="Z25" i="36"/>
  <c r="Z26" i="36" s="1"/>
  <c r="BD25" i="36"/>
  <c r="BD26" i="36" s="1"/>
  <c r="BJ25" i="36"/>
  <c r="BJ26" i="36" s="1"/>
  <c r="AL25" i="36"/>
  <c r="AL26" i="36" s="1"/>
  <c r="N25" i="36"/>
  <c r="N26" i="36" s="1"/>
  <c r="BT25" i="36"/>
  <c r="BT26" i="36" s="1"/>
  <c r="X25" i="36"/>
  <c r="X26" i="36" s="1"/>
  <c r="H25" i="36"/>
  <c r="H26" i="36" s="1"/>
  <c r="CG25" i="36"/>
  <c r="CG26" i="36" s="1"/>
  <c r="BU25" i="36"/>
  <c r="BU26" i="36" s="1"/>
  <c r="AW25" i="36"/>
  <c r="AW26" i="36" s="1"/>
  <c r="AK25" i="36"/>
  <c r="AK26" i="36" s="1"/>
  <c r="Y25" i="36"/>
  <c r="Y26" i="36" s="1"/>
  <c r="BS25" i="36"/>
  <c r="BS26" i="36" s="1"/>
  <c r="BG25" i="36"/>
  <c r="BG26" i="36" s="1"/>
  <c r="AI25" i="36"/>
  <c r="AI26" i="36" s="1"/>
  <c r="W25" i="36"/>
  <c r="W26" i="36" s="1"/>
  <c r="K25" i="36"/>
  <c r="K26" i="36" s="1"/>
  <c r="CD25" i="36"/>
  <c r="CD26" i="36" s="1"/>
  <c r="BR25" i="36"/>
  <c r="BR26" i="36" s="1"/>
  <c r="BF25" i="36"/>
  <c r="BF26" i="36" s="1"/>
  <c r="AT25" i="36"/>
  <c r="AT26" i="36" s="1"/>
  <c r="AH25" i="36"/>
  <c r="AH26" i="36" s="1"/>
  <c r="V25" i="36"/>
  <c r="V26" i="36" s="1"/>
  <c r="J25" i="36"/>
  <c r="J26" i="36" s="1"/>
  <c r="AB10" i="36"/>
  <c r="AB13" i="36" s="1"/>
  <c r="CC25" i="36"/>
  <c r="CC26" i="36" s="1"/>
  <c r="BQ25" i="36"/>
  <c r="BQ26" i="36" s="1"/>
  <c r="BE25" i="36"/>
  <c r="BE26" i="36" s="1"/>
  <c r="AS25" i="36"/>
  <c r="AS26" i="36" s="1"/>
  <c r="AG25" i="36"/>
  <c r="AG26" i="36" s="1"/>
  <c r="U25" i="36"/>
  <c r="U26" i="36" s="1"/>
  <c r="I25" i="36"/>
  <c r="I26" i="36" s="1"/>
  <c r="H3" i="25"/>
  <c r="G15" i="25"/>
  <c r="AS10" i="36"/>
  <c r="AS13" i="36" s="1"/>
  <c r="AM39" i="36"/>
  <c r="AY39" i="36"/>
  <c r="BX39" i="36"/>
  <c r="F39" i="36"/>
  <c r="AZ39" i="36"/>
  <c r="BI25" i="36"/>
  <c r="BI26" i="36" s="1"/>
  <c r="M25" i="36"/>
  <c r="M26" i="36" s="1"/>
  <c r="BH25" i="36"/>
  <c r="BH26" i="36" s="1"/>
  <c r="AV25" i="36"/>
  <c r="AV26" i="36" s="1"/>
  <c r="AJ25" i="36"/>
  <c r="AJ26" i="36" s="1"/>
  <c r="CA25" i="36"/>
  <c r="CA26" i="36" s="1"/>
  <c r="BO25" i="36"/>
  <c r="BO26" i="36" s="1"/>
  <c r="S25" i="36"/>
  <c r="S26" i="36" s="1"/>
  <c r="G25" i="36"/>
  <c r="G26" i="36" s="1"/>
  <c r="BQ9" i="36"/>
  <c r="BQ10" i="36" s="1"/>
  <c r="BQ13" i="36" s="1"/>
  <c r="BB25" i="36"/>
  <c r="BB26" i="36" s="1"/>
  <c r="BY25" i="36"/>
  <c r="BY26" i="36" s="1"/>
  <c r="BM25" i="36"/>
  <c r="BM26" i="36" s="1"/>
  <c r="BA25" i="36"/>
  <c r="BA26" i="36" s="1"/>
  <c r="AO25" i="36"/>
  <c r="AO26" i="36" s="1"/>
  <c r="AC25" i="36"/>
  <c r="AC26" i="36" s="1"/>
  <c r="Q25" i="36"/>
  <c r="Q26" i="36" s="1"/>
  <c r="E25" i="36"/>
  <c r="E26" i="36" s="1"/>
  <c r="AH10" i="36"/>
  <c r="AH13" i="36" s="1"/>
  <c r="I9" i="36"/>
  <c r="I10" i="36" s="1"/>
  <c r="I13" i="36" s="1"/>
  <c r="BX25" i="36"/>
  <c r="BX26" i="36" s="1"/>
  <c r="BL25" i="36"/>
  <c r="BL26" i="36" s="1"/>
  <c r="AZ25" i="36"/>
  <c r="AZ26" i="36" s="1"/>
  <c r="AN25" i="36"/>
  <c r="AN26" i="36" s="1"/>
  <c r="AB25" i="36"/>
  <c r="AB26" i="36" s="1"/>
  <c r="P25" i="36"/>
  <c r="P26" i="36" s="1"/>
  <c r="D25" i="36"/>
  <c r="D26" i="36" s="1"/>
  <c r="AR10" i="36"/>
  <c r="AR13" i="36" s="1"/>
  <c r="BW39" i="36"/>
  <c r="E9" i="36"/>
  <c r="E10" i="36" s="1"/>
  <c r="E13" i="36" s="1"/>
  <c r="C25" i="36"/>
  <c r="C26" i="36" s="1"/>
  <c r="CE25" i="36"/>
  <c r="CE26" i="36" s="1"/>
  <c r="AU25" i="36"/>
  <c r="AU26" i="36" s="1"/>
  <c r="AQ10" i="36"/>
  <c r="AQ13" i="36" s="1"/>
  <c r="G10" i="36"/>
  <c r="G13" i="36" s="1"/>
  <c r="BY10" i="36"/>
  <c r="BY13" i="36" s="1"/>
  <c r="BM10" i="36"/>
  <c r="BM13" i="36" s="1"/>
  <c r="BA10" i="36"/>
  <c r="AO10" i="36"/>
  <c r="AC10" i="36"/>
  <c r="AC13" i="36" s="1"/>
  <c r="Q10" i="36"/>
  <c r="Q13" i="36" s="1"/>
  <c r="BP39" i="36"/>
  <c r="T39" i="36"/>
  <c r="CD13" i="36"/>
  <c r="S39" i="36"/>
  <c r="BO39" i="36"/>
  <c r="CE13" i="36"/>
  <c r="CC13" i="36"/>
  <c r="D39" i="36"/>
  <c r="BC39" i="36"/>
  <c r="V39" i="36"/>
  <c r="AX39" i="36"/>
  <c r="N39" i="36"/>
  <c r="AM13" i="36"/>
  <c r="C13" i="36"/>
  <c r="CB39" i="36"/>
  <c r="G39" i="36"/>
  <c r="BB39" i="36"/>
  <c r="W13" i="36"/>
  <c r="M9" i="36"/>
  <c r="M10" i="36" s="1"/>
  <c r="V13" i="36"/>
  <c r="AY13" i="36"/>
  <c r="CF9" i="36"/>
  <c r="CF10" i="36" s="1"/>
  <c r="BT10" i="36"/>
  <c r="BH9" i="36"/>
  <c r="BH10" i="36" s="1"/>
  <c r="AV9" i="36"/>
  <c r="AV10" i="36" s="1"/>
  <c r="AJ9" i="36"/>
  <c r="AJ10" i="36" s="1"/>
  <c r="L9" i="36"/>
  <c r="L10" i="36" s="1"/>
  <c r="BL39" i="36"/>
  <c r="Z9" i="36"/>
  <c r="Z10" i="36" s="1"/>
  <c r="CD39" i="36"/>
  <c r="AH39" i="36"/>
  <c r="BK13" i="36"/>
  <c r="AA13" i="36"/>
  <c r="BS10" i="36"/>
  <c r="N9" i="36"/>
  <c r="N10" i="36" s="1"/>
  <c r="BJ10" i="36"/>
  <c r="BR10" i="36"/>
  <c r="Y9" i="36"/>
  <c r="Y10" i="36" s="1"/>
  <c r="Q39" i="36"/>
  <c r="BI10" i="36"/>
  <c r="P39" i="36"/>
  <c r="E39" i="36"/>
  <c r="BP13" i="36"/>
  <c r="AX9" i="36"/>
  <c r="AX10" i="36" s="1"/>
  <c r="AI39" i="36"/>
  <c r="C39" i="36"/>
  <c r="C41" i="36" s="1"/>
  <c r="D41" i="36" s="1"/>
  <c r="BA39" i="36"/>
  <c r="AT13" i="36"/>
  <c r="AW9" i="36"/>
  <c r="AW10" i="36" s="1"/>
  <c r="CE39" i="36"/>
  <c r="CC39" i="36"/>
  <c r="BR39" i="36"/>
  <c r="AV39" i="36"/>
  <c r="D13" i="36"/>
  <c r="X13" i="36"/>
  <c r="AF39" i="36"/>
  <c r="BQ39" i="36"/>
  <c r="AL9" i="36"/>
  <c r="AL10" i="36" s="1"/>
  <c r="BV9" i="36"/>
  <c r="BV10" i="36" s="1"/>
  <c r="BU9" i="36"/>
  <c r="BU10" i="36" s="1"/>
  <c r="AP39" i="36"/>
  <c r="AU39" i="36"/>
  <c r="CA39" i="36"/>
  <c r="BE39" i="36"/>
  <c r="AE39" i="36"/>
  <c r="AE25" i="36"/>
  <c r="AE26" i="36" s="1"/>
  <c r="CG9" i="36"/>
  <c r="CG10" i="36" s="1"/>
  <c r="BE13" i="36"/>
  <c r="AK9" i="36"/>
  <c r="AK10" i="36" s="1"/>
  <c r="AF13" i="36"/>
  <c r="BJ39" i="36"/>
  <c r="BD39" i="36"/>
  <c r="AD39" i="36"/>
  <c r="BZ25" i="36"/>
  <c r="BZ26" i="36" s="1"/>
  <c r="BN25" i="36"/>
  <c r="BN26" i="36" s="1"/>
  <c r="AP25" i="36"/>
  <c r="AP26" i="36" s="1"/>
  <c r="AD25" i="36"/>
  <c r="AD26" i="36" s="1"/>
  <c r="R25" i="36"/>
  <c r="R26" i="36" s="1"/>
  <c r="F25" i="36"/>
  <c r="F26" i="36" s="1"/>
  <c r="BD13" i="36"/>
  <c r="AG13" i="36"/>
  <c r="CB13" i="36"/>
  <c r="T13" i="36"/>
  <c r="AI10" i="36"/>
  <c r="AU9" i="36"/>
  <c r="AU10" i="36" s="1"/>
  <c r="K9" i="36"/>
  <c r="K10" i="36" s="1"/>
  <c r="CA9" i="36"/>
  <c r="CA10" i="36" s="1"/>
  <c r="BO10" i="36"/>
  <c r="BC10" i="36"/>
  <c r="AE10" i="36"/>
  <c r="S10" i="36"/>
  <c r="BG9" i="36"/>
  <c r="BG10" i="36" s="1"/>
  <c r="BC25" i="36"/>
  <c r="BC26" i="36" s="1"/>
  <c r="AQ25" i="36"/>
  <c r="AQ26" i="36" s="1"/>
  <c r="U13" i="36"/>
  <c r="H13" i="36"/>
  <c r="BF9" i="36"/>
  <c r="BF10" i="36" s="1"/>
  <c r="BZ9" i="36"/>
  <c r="BZ10" i="36" s="1"/>
  <c r="BN9" i="36"/>
  <c r="BN10" i="36" s="1"/>
  <c r="BB9" i="36"/>
  <c r="BB10" i="36" s="1"/>
  <c r="AP9" i="36"/>
  <c r="AP10" i="36" s="1"/>
  <c r="AD9" i="36"/>
  <c r="AD10" i="36" s="1"/>
  <c r="R9" i="36"/>
  <c r="R10" i="36" s="1"/>
  <c r="F9" i="36"/>
  <c r="F10" i="36" s="1"/>
  <c r="B46" i="36"/>
  <c r="B48" i="36" s="1"/>
  <c r="B45" i="36"/>
  <c r="B24" i="36"/>
  <c r="B20" i="36"/>
  <c r="B7" i="36"/>
  <c r="CG2" i="36"/>
  <c r="CF2" i="36"/>
  <c r="CE2" i="36"/>
  <c r="CD2" i="36"/>
  <c r="CC2" i="36"/>
  <c r="CB2" i="36"/>
  <c r="CA2" i="36"/>
  <c r="BZ2" i="36"/>
  <c r="BY2" i="36"/>
  <c r="BX2" i="36"/>
  <c r="BW2" i="36"/>
  <c r="BV2" i="36"/>
  <c r="BU2" i="36"/>
  <c r="BT2" i="36"/>
  <c r="BS2" i="36"/>
  <c r="BR2" i="36"/>
  <c r="BQ2" i="36"/>
  <c r="BP2" i="36"/>
  <c r="BO2" i="36"/>
  <c r="BN2" i="36"/>
  <c r="BM2" i="36"/>
  <c r="BL2" i="36"/>
  <c r="BK2" i="36"/>
  <c r="BJ2" i="36"/>
  <c r="BI2" i="36"/>
  <c r="BH2" i="36"/>
  <c r="BG2" i="36"/>
  <c r="BF2" i="36"/>
  <c r="BE2" i="36"/>
  <c r="BD2" i="36"/>
  <c r="BC2" i="36"/>
  <c r="BB2" i="36"/>
  <c r="BA2" i="36"/>
  <c r="AZ2" i="36"/>
  <c r="AY2" i="36"/>
  <c r="AX2" i="36"/>
  <c r="AW2" i="36"/>
  <c r="AV2" i="36"/>
  <c r="AU2" i="36"/>
  <c r="AT2" i="36"/>
  <c r="AS2" i="36"/>
  <c r="AR2" i="36"/>
  <c r="AQ2" i="36"/>
  <c r="AP2" i="36"/>
  <c r="AO2" i="36"/>
  <c r="AN2" i="36"/>
  <c r="AM2" i="36"/>
  <c r="AL2" i="36"/>
  <c r="AK2" i="36"/>
  <c r="AJ2" i="36"/>
  <c r="AI2" i="36"/>
  <c r="AH2" i="36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B2" i="36"/>
  <c r="B1" i="36"/>
  <c r="C1" i="36" s="1"/>
  <c r="D1" i="36" s="1"/>
  <c r="E1" i="36" s="1"/>
  <c r="F1" i="36" s="1"/>
  <c r="G1" i="36" s="1"/>
  <c r="H1" i="36" s="1"/>
  <c r="I1" i="36" s="1"/>
  <c r="J1" i="36" s="1"/>
  <c r="K1" i="36" s="1"/>
  <c r="L1" i="36" s="1"/>
  <c r="M1" i="36" s="1"/>
  <c r="N1" i="36" s="1"/>
  <c r="O1" i="36" s="1"/>
  <c r="P1" i="36" s="1"/>
  <c r="Q1" i="36" s="1"/>
  <c r="R1" i="36" s="1"/>
  <c r="S1" i="36" s="1"/>
  <c r="T1" i="36" s="1"/>
  <c r="U1" i="36" s="1"/>
  <c r="V1" i="36" s="1"/>
  <c r="W1" i="36" s="1"/>
  <c r="X1" i="36" s="1"/>
  <c r="Y1" i="36" s="1"/>
  <c r="Z1" i="36" s="1"/>
  <c r="AA1" i="36" s="1"/>
  <c r="AB1" i="36" s="1"/>
  <c r="AC1" i="36" s="1"/>
  <c r="AD1" i="36" s="1"/>
  <c r="AE1" i="36" s="1"/>
  <c r="AF1" i="36" s="1"/>
  <c r="AG1" i="36" s="1"/>
  <c r="AH1" i="36" s="1"/>
  <c r="AI1" i="36" s="1"/>
  <c r="AJ1" i="36" s="1"/>
  <c r="AK1" i="36" s="1"/>
  <c r="AL1" i="36" s="1"/>
  <c r="AM1" i="36" s="1"/>
  <c r="AN1" i="36" s="1"/>
  <c r="AO1" i="36" s="1"/>
  <c r="AP1" i="36" s="1"/>
  <c r="AQ1" i="36" s="1"/>
  <c r="AR1" i="36" s="1"/>
  <c r="AS1" i="36" s="1"/>
  <c r="AT1" i="36" s="1"/>
  <c r="AU1" i="36" s="1"/>
  <c r="AV1" i="36" s="1"/>
  <c r="AW1" i="36" s="1"/>
  <c r="AX1" i="36" s="1"/>
  <c r="AY1" i="36" s="1"/>
  <c r="AZ1" i="36" s="1"/>
  <c r="BA1" i="36" s="1"/>
  <c r="BB1" i="36" s="1"/>
  <c r="BC1" i="36" s="1"/>
  <c r="BD1" i="36" s="1"/>
  <c r="BE1" i="36" s="1"/>
  <c r="BF1" i="36" s="1"/>
  <c r="BG1" i="36" s="1"/>
  <c r="BH1" i="36" s="1"/>
  <c r="BI1" i="36" s="1"/>
  <c r="BJ1" i="36" s="1"/>
  <c r="BK1" i="36" s="1"/>
  <c r="BL1" i="36" s="1"/>
  <c r="BM1" i="36" s="1"/>
  <c r="BN1" i="36" s="1"/>
  <c r="BO1" i="36" s="1"/>
  <c r="BP1" i="36" s="1"/>
  <c r="BQ1" i="36" s="1"/>
  <c r="BR1" i="36" s="1"/>
  <c r="BS1" i="36" s="1"/>
  <c r="BT1" i="36" s="1"/>
  <c r="BU1" i="36" s="1"/>
  <c r="BV1" i="36" s="1"/>
  <c r="BW1" i="36" s="1"/>
  <c r="BX1" i="36" s="1"/>
  <c r="BY1" i="36" s="1"/>
  <c r="BZ1" i="36" s="1"/>
  <c r="CA1" i="36" s="1"/>
  <c r="CB1" i="36" s="1"/>
  <c r="CC1" i="36" s="1"/>
  <c r="CD1" i="36" s="1"/>
  <c r="CE1" i="36" s="1"/>
  <c r="CF1" i="36" s="1"/>
  <c r="CG1" i="36" s="1"/>
  <c r="Z5" i="33"/>
  <c r="AA5" i="33"/>
  <c r="AB5" i="33"/>
  <c r="AC5" i="33"/>
  <c r="AD5" i="33"/>
  <c r="AE5" i="33"/>
  <c r="AF5" i="33"/>
  <c r="AG5" i="33"/>
  <c r="AH5" i="33"/>
  <c r="AD6" i="33"/>
  <c r="AE6" i="33"/>
  <c r="AF6" i="33"/>
  <c r="AG6" i="33"/>
  <c r="AH6" i="33"/>
  <c r="X7" i="33"/>
  <c r="AE7" i="33"/>
  <c r="AF7" i="33"/>
  <c r="AG7" i="33"/>
  <c r="AH7" i="33"/>
  <c r="X8" i="33"/>
  <c r="Y8" i="33"/>
  <c r="AF8" i="33"/>
  <c r="AG8" i="33"/>
  <c r="AH8" i="33"/>
  <c r="X9" i="33"/>
  <c r="Y9" i="33"/>
  <c r="Z9" i="33"/>
  <c r="AH9" i="33"/>
  <c r="X10" i="33"/>
  <c r="Y10" i="33"/>
  <c r="Z10" i="33"/>
  <c r="AA10" i="33"/>
  <c r="AB12" i="33"/>
  <c r="AC12" i="33"/>
  <c r="AD13" i="33"/>
  <c r="X15" i="33"/>
  <c r="Y15" i="33"/>
  <c r="Z15" i="33"/>
  <c r="AA15" i="33"/>
  <c r="AB15" i="33"/>
  <c r="AC15" i="33"/>
  <c r="AD15" i="33"/>
  <c r="AE15" i="33"/>
  <c r="AF15" i="33"/>
  <c r="AH15" i="33"/>
  <c r="Y16" i="33"/>
  <c r="Z16" i="33"/>
  <c r="AA16" i="33"/>
  <c r="AB16" i="33"/>
  <c r="AC16" i="33"/>
  <c r="AD16" i="33"/>
  <c r="AE16" i="33"/>
  <c r="AF16" i="33"/>
  <c r="AG16" i="33"/>
  <c r="W15" i="33"/>
  <c r="W16" i="33"/>
  <c r="Y4" i="33"/>
  <c r="Z4" i="33"/>
  <c r="AA4" i="33"/>
  <c r="AB4" i="33"/>
  <c r="AC4" i="33"/>
  <c r="AD4" i="33"/>
  <c r="AE4" i="33"/>
  <c r="AF4" i="33"/>
  <c r="AG4" i="33"/>
  <c r="AH4" i="33"/>
  <c r="H4" i="33"/>
  <c r="W4" i="33" s="1"/>
  <c r="H5" i="33"/>
  <c r="W5" i="33" s="1"/>
  <c r="H6" i="33"/>
  <c r="X6" i="33" s="1"/>
  <c r="H7" i="33"/>
  <c r="Y7" i="33" s="1"/>
  <c r="H8" i="33"/>
  <c r="H9" i="33"/>
  <c r="AA9" i="33" s="1"/>
  <c r="H10" i="33"/>
  <c r="AB10" i="33" s="1"/>
  <c r="H11" i="33"/>
  <c r="AC11" i="33" s="1"/>
  <c r="H12" i="33"/>
  <c r="AD12" i="33" s="1"/>
  <c r="H13" i="33"/>
  <c r="AE13" i="33" s="1"/>
  <c r="H14" i="33"/>
  <c r="AF14" i="33" s="1"/>
  <c r="H15" i="33"/>
  <c r="AG15" i="33" s="1"/>
  <c r="H16" i="33"/>
  <c r="AH16" i="33" s="1"/>
  <c r="G4" i="33"/>
  <c r="C23" i="19"/>
  <c r="D18" i="33"/>
  <c r="E18" i="33"/>
  <c r="C18" i="19"/>
  <c r="G5" i="33"/>
  <c r="P5" i="33" s="1"/>
  <c r="G9" i="33"/>
  <c r="H51" i="35"/>
  <c r="G51" i="35"/>
  <c r="F51" i="35"/>
  <c r="E51" i="35"/>
  <c r="D51" i="35"/>
  <c r="C51" i="35"/>
  <c r="B51" i="35"/>
  <c r="K35" i="35"/>
  <c r="J35" i="35"/>
  <c r="B22" i="35"/>
  <c r="B23" i="35" s="1"/>
  <c r="H20" i="35"/>
  <c r="G20" i="35"/>
  <c r="F20" i="35"/>
  <c r="E20" i="35"/>
  <c r="D20" i="35"/>
  <c r="C20" i="35"/>
  <c r="B20" i="35"/>
  <c r="B18" i="35"/>
  <c r="B19" i="35" s="1"/>
  <c r="H17" i="35"/>
  <c r="G17" i="35"/>
  <c r="F17" i="35"/>
  <c r="E17" i="35"/>
  <c r="D17" i="35"/>
  <c r="C17" i="35"/>
  <c r="B17" i="35"/>
  <c r="B16" i="35"/>
  <c r="K13" i="35"/>
  <c r="L13" i="35" s="1"/>
  <c r="H10" i="35"/>
  <c r="G10" i="35"/>
  <c r="F10" i="35"/>
  <c r="E10" i="35"/>
  <c r="D10" i="35"/>
  <c r="C10" i="35"/>
  <c r="B10" i="35"/>
  <c r="H7" i="35"/>
  <c r="G7" i="35"/>
  <c r="F7" i="35"/>
  <c r="E7" i="35"/>
  <c r="D7" i="35"/>
  <c r="C7" i="35"/>
  <c r="B7" i="35"/>
  <c r="J6" i="35"/>
  <c r="CO2" i="35"/>
  <c r="CN2" i="35"/>
  <c r="CM2" i="35"/>
  <c r="CL2" i="35"/>
  <c r="CK2" i="35"/>
  <c r="CJ2" i="35"/>
  <c r="CI2" i="35"/>
  <c r="CH2" i="35"/>
  <c r="CG2" i="35"/>
  <c r="CF2" i="35"/>
  <c r="CE2" i="35"/>
  <c r="CD2" i="35"/>
  <c r="CC2" i="35"/>
  <c r="CB2" i="35"/>
  <c r="CA2" i="35"/>
  <c r="BZ2" i="35"/>
  <c r="BY2" i="35"/>
  <c r="BX2" i="35"/>
  <c r="BW2" i="35"/>
  <c r="BV2" i="35"/>
  <c r="BU2" i="35"/>
  <c r="BT2" i="35"/>
  <c r="BS2" i="35"/>
  <c r="BR2" i="35"/>
  <c r="BQ2" i="35"/>
  <c r="BP2" i="35"/>
  <c r="BO2" i="35"/>
  <c r="BN2" i="35"/>
  <c r="BM2" i="35"/>
  <c r="BL2" i="35"/>
  <c r="BK2" i="35"/>
  <c r="BJ2" i="35"/>
  <c r="BI2" i="35"/>
  <c r="BH2" i="35"/>
  <c r="BG2" i="35"/>
  <c r="BF2" i="35"/>
  <c r="BE2" i="35"/>
  <c r="BD2" i="35"/>
  <c r="BC2" i="35"/>
  <c r="BB2" i="35"/>
  <c r="BA2" i="35"/>
  <c r="AZ2" i="35"/>
  <c r="AY2" i="35"/>
  <c r="AX2" i="35"/>
  <c r="AW2" i="35"/>
  <c r="AV2" i="35"/>
  <c r="AU2" i="35"/>
  <c r="AT2" i="35"/>
  <c r="AS2" i="35"/>
  <c r="AR2" i="35"/>
  <c r="AQ2" i="35"/>
  <c r="AP2" i="35"/>
  <c r="AO2" i="35"/>
  <c r="AN2" i="35"/>
  <c r="AM2" i="35"/>
  <c r="AL2" i="35"/>
  <c r="AK2" i="35"/>
  <c r="AJ2" i="35"/>
  <c r="AI2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J1" i="35"/>
  <c r="K1" i="35" s="1"/>
  <c r="L1" i="35" s="1"/>
  <c r="M1" i="35" s="1"/>
  <c r="N1" i="35" s="1"/>
  <c r="O1" i="35" s="1"/>
  <c r="P1" i="35" s="1"/>
  <c r="Q1" i="35" s="1"/>
  <c r="R1" i="35" s="1"/>
  <c r="S1" i="35" s="1"/>
  <c r="T1" i="35" s="1"/>
  <c r="U1" i="35" s="1"/>
  <c r="V1" i="35" s="1"/>
  <c r="W1" i="35" s="1"/>
  <c r="X1" i="35" s="1"/>
  <c r="Y1" i="35" s="1"/>
  <c r="Z1" i="35" s="1"/>
  <c r="AA1" i="35" s="1"/>
  <c r="AB1" i="35" s="1"/>
  <c r="AC1" i="35" s="1"/>
  <c r="AD1" i="35" s="1"/>
  <c r="AE1" i="35" s="1"/>
  <c r="AF1" i="35" s="1"/>
  <c r="AG1" i="35" s="1"/>
  <c r="AH1" i="35" s="1"/>
  <c r="AI1" i="35" s="1"/>
  <c r="AJ1" i="35" s="1"/>
  <c r="AK1" i="35" s="1"/>
  <c r="AL1" i="35" s="1"/>
  <c r="AM1" i="35" s="1"/>
  <c r="AN1" i="35" s="1"/>
  <c r="AO1" i="35" s="1"/>
  <c r="AP1" i="35" s="1"/>
  <c r="AQ1" i="35" s="1"/>
  <c r="AR1" i="35" s="1"/>
  <c r="AS1" i="35" s="1"/>
  <c r="AT1" i="35" s="1"/>
  <c r="AU1" i="35" s="1"/>
  <c r="AV1" i="35" s="1"/>
  <c r="AW1" i="35" s="1"/>
  <c r="AX1" i="35" s="1"/>
  <c r="AY1" i="35" s="1"/>
  <c r="AZ1" i="35" s="1"/>
  <c r="BA1" i="35" s="1"/>
  <c r="BB1" i="35" s="1"/>
  <c r="BC1" i="35" s="1"/>
  <c r="BD1" i="35" s="1"/>
  <c r="BE1" i="35" s="1"/>
  <c r="BF1" i="35" s="1"/>
  <c r="BG1" i="35" s="1"/>
  <c r="BH1" i="35" s="1"/>
  <c r="BI1" i="35" s="1"/>
  <c r="BJ1" i="35" s="1"/>
  <c r="BK1" i="35" s="1"/>
  <c r="BL1" i="35" s="1"/>
  <c r="BM1" i="35" s="1"/>
  <c r="BN1" i="35" s="1"/>
  <c r="BO1" i="35" s="1"/>
  <c r="BP1" i="35" s="1"/>
  <c r="BQ1" i="35" s="1"/>
  <c r="BR1" i="35" s="1"/>
  <c r="BS1" i="35" s="1"/>
  <c r="BT1" i="35" s="1"/>
  <c r="BU1" i="35" s="1"/>
  <c r="BV1" i="35" s="1"/>
  <c r="BW1" i="35" s="1"/>
  <c r="BX1" i="35" s="1"/>
  <c r="BY1" i="35" s="1"/>
  <c r="BZ1" i="35" s="1"/>
  <c r="CA1" i="35" s="1"/>
  <c r="CB1" i="35" s="1"/>
  <c r="CC1" i="35" s="1"/>
  <c r="CD1" i="35" s="1"/>
  <c r="CE1" i="35" s="1"/>
  <c r="CF1" i="35" s="1"/>
  <c r="CG1" i="35" s="1"/>
  <c r="CH1" i="35" s="1"/>
  <c r="CI1" i="35" s="1"/>
  <c r="CJ1" i="35" s="1"/>
  <c r="CK1" i="35" s="1"/>
  <c r="CL1" i="35" s="1"/>
  <c r="CM1" i="35" s="1"/>
  <c r="CN1" i="35" s="1"/>
  <c r="CO1" i="35" s="1"/>
  <c r="CO2" i="34"/>
  <c r="CN2" i="34"/>
  <c r="CM2" i="34"/>
  <c r="CL2" i="34"/>
  <c r="CK2" i="34"/>
  <c r="CJ2" i="34"/>
  <c r="CI2" i="34"/>
  <c r="CH2" i="34"/>
  <c r="CG2" i="34"/>
  <c r="CF2" i="34"/>
  <c r="CE2" i="34"/>
  <c r="CD2" i="34"/>
  <c r="CC2" i="34"/>
  <c r="CB2" i="34"/>
  <c r="CA2" i="34"/>
  <c r="BZ2" i="34"/>
  <c r="BY2" i="34"/>
  <c r="BX2" i="34"/>
  <c r="BW2" i="34"/>
  <c r="BV2" i="34"/>
  <c r="BU2" i="34"/>
  <c r="BT2" i="34"/>
  <c r="BS2" i="34"/>
  <c r="BR2" i="34"/>
  <c r="BQ2" i="34"/>
  <c r="BP2" i="34"/>
  <c r="BO2" i="34"/>
  <c r="BN2" i="34"/>
  <c r="BM2" i="34"/>
  <c r="BL2" i="34"/>
  <c r="BK2" i="34"/>
  <c r="BJ2" i="34"/>
  <c r="BI2" i="34"/>
  <c r="BH2" i="34"/>
  <c r="BG2" i="34"/>
  <c r="BF2" i="34"/>
  <c r="BE2" i="34"/>
  <c r="BD2" i="34"/>
  <c r="BC2" i="34"/>
  <c r="BB2" i="34"/>
  <c r="BA2" i="34"/>
  <c r="AZ2" i="34"/>
  <c r="AY2" i="34"/>
  <c r="AX2" i="34"/>
  <c r="AW2" i="34"/>
  <c r="AV2" i="34"/>
  <c r="AU2" i="34"/>
  <c r="AT2" i="34"/>
  <c r="AS2" i="34"/>
  <c r="AR2" i="34"/>
  <c r="AQ2" i="34"/>
  <c r="AP2" i="34"/>
  <c r="AO2" i="34"/>
  <c r="AN2" i="34"/>
  <c r="AM2" i="34"/>
  <c r="AL2" i="34"/>
  <c r="AK2" i="34"/>
  <c r="AJ2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J1" i="34"/>
  <c r="K1" i="34" s="1"/>
  <c r="L1" i="34" s="1"/>
  <c r="M1" i="34" s="1"/>
  <c r="N1" i="34" s="1"/>
  <c r="O1" i="34" s="1"/>
  <c r="P1" i="34" s="1"/>
  <c r="Q1" i="34" s="1"/>
  <c r="R1" i="34" s="1"/>
  <c r="S1" i="34" s="1"/>
  <c r="T1" i="34" s="1"/>
  <c r="U1" i="34" s="1"/>
  <c r="V1" i="34" s="1"/>
  <c r="W1" i="34" s="1"/>
  <c r="X1" i="34" s="1"/>
  <c r="Y1" i="34" s="1"/>
  <c r="Z1" i="34" s="1"/>
  <c r="AA1" i="34" s="1"/>
  <c r="AB1" i="34" s="1"/>
  <c r="AC1" i="34" s="1"/>
  <c r="AD1" i="34" s="1"/>
  <c r="AE1" i="34" s="1"/>
  <c r="AF1" i="34" s="1"/>
  <c r="AG1" i="34" s="1"/>
  <c r="AH1" i="34" s="1"/>
  <c r="AI1" i="34" s="1"/>
  <c r="AJ1" i="34" s="1"/>
  <c r="AK1" i="34" s="1"/>
  <c r="AL1" i="34" s="1"/>
  <c r="AM1" i="34" s="1"/>
  <c r="AN1" i="34" s="1"/>
  <c r="AO1" i="34" s="1"/>
  <c r="AP1" i="34" s="1"/>
  <c r="AQ1" i="34" s="1"/>
  <c r="AR1" i="34" s="1"/>
  <c r="AS1" i="34" s="1"/>
  <c r="AT1" i="34" s="1"/>
  <c r="AU1" i="34" s="1"/>
  <c r="AV1" i="34" s="1"/>
  <c r="AW1" i="34" s="1"/>
  <c r="AX1" i="34" s="1"/>
  <c r="AY1" i="34" s="1"/>
  <c r="AZ1" i="34" s="1"/>
  <c r="BA1" i="34" s="1"/>
  <c r="BB1" i="34" s="1"/>
  <c r="BC1" i="34" s="1"/>
  <c r="BD1" i="34" s="1"/>
  <c r="BE1" i="34" s="1"/>
  <c r="BF1" i="34" s="1"/>
  <c r="BG1" i="34" s="1"/>
  <c r="BH1" i="34" s="1"/>
  <c r="BI1" i="34" s="1"/>
  <c r="BJ1" i="34" s="1"/>
  <c r="BK1" i="34" s="1"/>
  <c r="BL1" i="34" s="1"/>
  <c r="BM1" i="34" s="1"/>
  <c r="BN1" i="34" s="1"/>
  <c r="BO1" i="34" s="1"/>
  <c r="BP1" i="34" s="1"/>
  <c r="BQ1" i="34" s="1"/>
  <c r="BR1" i="34" s="1"/>
  <c r="BS1" i="34" s="1"/>
  <c r="BT1" i="34" s="1"/>
  <c r="BU1" i="34" s="1"/>
  <c r="BV1" i="34" s="1"/>
  <c r="BW1" i="34" s="1"/>
  <c r="BX1" i="34" s="1"/>
  <c r="BY1" i="34" s="1"/>
  <c r="BZ1" i="34" s="1"/>
  <c r="CA1" i="34" s="1"/>
  <c r="CB1" i="34" s="1"/>
  <c r="CC1" i="34" s="1"/>
  <c r="CD1" i="34" s="1"/>
  <c r="CE1" i="34" s="1"/>
  <c r="CF1" i="34" s="1"/>
  <c r="CG1" i="34" s="1"/>
  <c r="CH1" i="34" s="1"/>
  <c r="CI1" i="34" s="1"/>
  <c r="CJ1" i="34" s="1"/>
  <c r="CK1" i="34" s="1"/>
  <c r="CL1" i="34" s="1"/>
  <c r="CM1" i="34" s="1"/>
  <c r="CN1" i="34" s="1"/>
  <c r="CO1" i="34" s="1"/>
  <c r="C60" i="9"/>
  <c r="B19" i="19"/>
  <c r="C19" i="19"/>
  <c r="B20" i="19"/>
  <c r="C20" i="19"/>
  <c r="C21" i="19"/>
  <c r="B22" i="19"/>
  <c r="C22" i="19"/>
  <c r="B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18" i="19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AH2" i="33"/>
  <c r="K2" i="33"/>
  <c r="G16" i="33"/>
  <c r="P16" i="33" s="1"/>
  <c r="G15" i="33"/>
  <c r="G14" i="33"/>
  <c r="L14" i="33" s="1"/>
  <c r="G13" i="33"/>
  <c r="G11" i="33"/>
  <c r="G12" i="33"/>
  <c r="Q12" i="33" s="1"/>
  <c r="G10" i="33"/>
  <c r="G8" i="33"/>
  <c r="G7" i="33"/>
  <c r="G6" i="33"/>
  <c r="P6" i="33" s="1"/>
  <c r="K1" i="33"/>
  <c r="L1" i="33" s="1"/>
  <c r="M1" i="33" s="1"/>
  <c r="N1" i="33" s="1"/>
  <c r="O1" i="33" s="1"/>
  <c r="P1" i="33" s="1"/>
  <c r="Q1" i="33" s="1"/>
  <c r="R1" i="33" s="1"/>
  <c r="S1" i="33" s="1"/>
  <c r="T1" i="33" s="1"/>
  <c r="U1" i="33" s="1"/>
  <c r="V1" i="33" s="1"/>
  <c r="W1" i="33" s="1"/>
  <c r="X1" i="33" s="1"/>
  <c r="Y1" i="33" s="1"/>
  <c r="Z1" i="33" s="1"/>
  <c r="AA1" i="33" s="1"/>
  <c r="AB1" i="33" s="1"/>
  <c r="AC1" i="33" s="1"/>
  <c r="AD1" i="33" s="1"/>
  <c r="AE1" i="33" s="1"/>
  <c r="AF1" i="33" s="1"/>
  <c r="AG1" i="33" s="1"/>
  <c r="AH1" i="33" s="1"/>
  <c r="D1" i="19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G37" i="7"/>
  <c r="H37" i="7"/>
  <c r="C10" i="7"/>
  <c r="D10" i="7"/>
  <c r="E10" i="7"/>
  <c r="F10" i="7"/>
  <c r="G10" i="7"/>
  <c r="H10" i="7"/>
  <c r="B10" i="7"/>
  <c r="C7" i="7"/>
  <c r="D7" i="7"/>
  <c r="E7" i="7"/>
  <c r="F7" i="7"/>
  <c r="G7" i="7"/>
  <c r="H7" i="7"/>
  <c r="B7" i="7"/>
  <c r="C17" i="7"/>
  <c r="C27" i="7" s="1"/>
  <c r="D17" i="7"/>
  <c r="D27" i="7" s="1"/>
  <c r="E17" i="7"/>
  <c r="E27" i="7" s="1"/>
  <c r="F17" i="7"/>
  <c r="F27" i="7" s="1"/>
  <c r="G17" i="7"/>
  <c r="G27" i="7" s="1"/>
  <c r="H17" i="7"/>
  <c r="H27" i="7" s="1"/>
  <c r="B16" i="7"/>
  <c r="M11" i="22"/>
  <c r="M10" i="22"/>
  <c r="F37" i="7" s="1"/>
  <c r="M9" i="22"/>
  <c r="E37" i="7" s="1"/>
  <c r="M8" i="22"/>
  <c r="D37" i="7" s="1"/>
  <c r="M7" i="22"/>
  <c r="M6" i="22"/>
  <c r="C37" i="7"/>
  <c r="M4" i="22"/>
  <c r="B37" i="7" s="1"/>
  <c r="L10" i="22"/>
  <c r="L9" i="22"/>
  <c r="L8" i="22"/>
  <c r="J70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E41" i="36" l="1"/>
  <c r="F41" i="36" s="1"/>
  <c r="G41" i="36" s="1"/>
  <c r="I3" i="25"/>
  <c r="H15" i="25"/>
  <c r="F45" i="36"/>
  <c r="AO13" i="36"/>
  <c r="BA13" i="36"/>
  <c r="Z13" i="36"/>
  <c r="M13" i="36"/>
  <c r="AJ13" i="36"/>
  <c r="BZ13" i="36"/>
  <c r="L13" i="36"/>
  <c r="E45" i="36"/>
  <c r="CA13" i="36"/>
  <c r="K13" i="36"/>
  <c r="Y13" i="36"/>
  <c r="AD13" i="36"/>
  <c r="C46" i="36"/>
  <c r="C48" i="36" s="1"/>
  <c r="C45" i="36"/>
  <c r="F13" i="36"/>
  <c r="AV13" i="36"/>
  <c r="AW13" i="36"/>
  <c r="BU13" i="36"/>
  <c r="BB13" i="36"/>
  <c r="N13" i="36"/>
  <c r="AU13" i="36"/>
  <c r="CG13" i="36"/>
  <c r="R13" i="36"/>
  <c r="AX13" i="36"/>
  <c r="BN13" i="36"/>
  <c r="AL13" i="36"/>
  <c r="CF13" i="36"/>
  <c r="D46" i="36"/>
  <c r="D48" i="36" s="1"/>
  <c r="D45" i="36"/>
  <c r="S13" i="36"/>
  <c r="AI13" i="36"/>
  <c r="BS13" i="36"/>
  <c r="BG13" i="36"/>
  <c r="BV13" i="36"/>
  <c r="AP13" i="36"/>
  <c r="AK13" i="36"/>
  <c r="BH13" i="36"/>
  <c r="AE13" i="36"/>
  <c r="BF13" i="36"/>
  <c r="BC13" i="36"/>
  <c r="BT13" i="36"/>
  <c r="BR13" i="36"/>
  <c r="BO13" i="36"/>
  <c r="BI13" i="36"/>
  <c r="BJ13" i="36"/>
  <c r="B25" i="36"/>
  <c r="B26" i="36" s="1"/>
  <c r="B9" i="36"/>
  <c r="B10" i="36" s="1"/>
  <c r="B21" i="35"/>
  <c r="B50" i="35" s="1"/>
  <c r="AB11" i="33"/>
  <c r="Y11" i="33"/>
  <c r="AA14" i="33"/>
  <c r="W11" i="33"/>
  <c r="H18" i="33"/>
  <c r="W10" i="33"/>
  <c r="Y14" i="33"/>
  <c r="X13" i="33"/>
  <c r="AH11" i="33"/>
  <c r="AG10" i="33"/>
  <c r="AF9" i="33"/>
  <c r="AE8" i="33"/>
  <c r="AD7" i="33"/>
  <c r="AC6" i="33"/>
  <c r="AE14" i="33"/>
  <c r="AD14" i="33"/>
  <c r="W14" i="33"/>
  <c r="AC14" i="33"/>
  <c r="AA12" i="33"/>
  <c r="W13" i="33"/>
  <c r="AB14" i="33"/>
  <c r="Y13" i="33"/>
  <c r="W9" i="33"/>
  <c r="X14" i="33"/>
  <c r="AH12" i="33"/>
  <c r="AG11" i="33"/>
  <c r="AF10" i="33"/>
  <c r="AE9" i="33"/>
  <c r="AD8" i="33"/>
  <c r="AC7" i="33"/>
  <c r="AB6" i="33"/>
  <c r="AB13" i="33"/>
  <c r="Z11" i="33"/>
  <c r="Z13" i="33"/>
  <c r="AH13" i="33"/>
  <c r="AG12" i="33"/>
  <c r="AE10" i="33"/>
  <c r="AD9" i="33"/>
  <c r="AC8" i="33"/>
  <c r="AB7" i="33"/>
  <c r="AA6" i="33"/>
  <c r="AA13" i="33"/>
  <c r="W12" i="33"/>
  <c r="Y12" i="33"/>
  <c r="Z14" i="33"/>
  <c r="AH10" i="33"/>
  <c r="W8" i="33"/>
  <c r="W7" i="33"/>
  <c r="X16" i="33"/>
  <c r="AH14" i="33"/>
  <c r="AG13" i="33"/>
  <c r="AF12" i="33"/>
  <c r="AE11" i="33"/>
  <c r="AD10" i="33"/>
  <c r="AC9" i="33"/>
  <c r="AB8" i="33"/>
  <c r="AA7" i="33"/>
  <c r="Z6" i="33"/>
  <c r="Y5" i="33"/>
  <c r="Z12" i="33"/>
  <c r="X4" i="33"/>
  <c r="J4" i="33" s="1"/>
  <c r="W6" i="33"/>
  <c r="W18" i="33" s="1"/>
  <c r="AG14" i="33"/>
  <c r="AF13" i="33"/>
  <c r="AE12" i="33"/>
  <c r="AD11" i="33"/>
  <c r="AC10" i="33"/>
  <c r="AB9" i="33"/>
  <c r="AA8" i="33"/>
  <c r="Z7" i="33"/>
  <c r="Y6" i="33"/>
  <c r="X5" i="33"/>
  <c r="AC13" i="33"/>
  <c r="AA11" i="33"/>
  <c r="X11" i="33"/>
  <c r="X12" i="33"/>
  <c r="AG9" i="33"/>
  <c r="G18" i="33"/>
  <c r="AF11" i="33"/>
  <c r="Z8" i="33"/>
  <c r="B21" i="19"/>
  <c r="P12" i="33"/>
  <c r="K14" i="33"/>
  <c r="V14" i="33"/>
  <c r="V16" i="33"/>
  <c r="U14" i="33"/>
  <c r="U16" i="33"/>
  <c r="T14" i="33"/>
  <c r="T16" i="33"/>
  <c r="R5" i="33"/>
  <c r="S14" i="33"/>
  <c r="S16" i="33"/>
  <c r="Q5" i="33"/>
  <c r="R14" i="33"/>
  <c r="R16" i="33"/>
  <c r="Q14" i="33"/>
  <c r="Q16" i="33"/>
  <c r="R6" i="33"/>
  <c r="P14" i="33"/>
  <c r="Q6" i="33"/>
  <c r="O14" i="33"/>
  <c r="R12" i="33"/>
  <c r="M14" i="33"/>
  <c r="N14" i="33"/>
  <c r="L9" i="33"/>
  <c r="P9" i="33"/>
  <c r="Q9" i="33"/>
  <c r="T5" i="33"/>
  <c r="S5" i="33"/>
  <c r="U5" i="33"/>
  <c r="V5" i="33"/>
  <c r="M9" i="33"/>
  <c r="N9" i="33"/>
  <c r="O9" i="33"/>
  <c r="R9" i="33"/>
  <c r="K9" i="33"/>
  <c r="T9" i="33"/>
  <c r="U9" i="33"/>
  <c r="S9" i="33"/>
  <c r="V9" i="33"/>
  <c r="L35" i="35"/>
  <c r="M13" i="35"/>
  <c r="B39" i="35"/>
  <c r="P11" i="33"/>
  <c r="K15" i="33"/>
  <c r="Q4" i="33"/>
  <c r="T6" i="33"/>
  <c r="V12" i="33"/>
  <c r="V6" i="33"/>
  <c r="M15" i="33"/>
  <c r="P4" i="33"/>
  <c r="U6" i="33"/>
  <c r="L15" i="33"/>
  <c r="R4" i="33"/>
  <c r="K7" i="33"/>
  <c r="M10" i="33"/>
  <c r="N15" i="33"/>
  <c r="U4" i="33"/>
  <c r="L7" i="33"/>
  <c r="N10" i="33"/>
  <c r="S12" i="33"/>
  <c r="P15" i="33"/>
  <c r="N7" i="33"/>
  <c r="O10" i="33"/>
  <c r="T12" i="33"/>
  <c r="Q15" i="33"/>
  <c r="O7" i="33"/>
  <c r="P10" i="33"/>
  <c r="U7" i="33"/>
  <c r="V7" i="33"/>
  <c r="Q8" i="33"/>
  <c r="M11" i="33"/>
  <c r="R8" i="33"/>
  <c r="N11" i="33"/>
  <c r="O11" i="33"/>
  <c r="S4" i="33"/>
  <c r="S8" i="33"/>
  <c r="U13" i="33"/>
  <c r="T4" i="33"/>
  <c r="T8" i="33"/>
  <c r="V13" i="33"/>
  <c r="M7" i="33"/>
  <c r="U8" i="33"/>
  <c r="Q10" i="33"/>
  <c r="U12" i="33"/>
  <c r="Q11" i="33"/>
  <c r="K13" i="33"/>
  <c r="O15" i="33"/>
  <c r="V4" i="33"/>
  <c r="V8" i="33"/>
  <c r="R10" i="33"/>
  <c r="R11" i="33"/>
  <c r="L13" i="33"/>
  <c r="K4" i="33"/>
  <c r="K8" i="33"/>
  <c r="S10" i="33"/>
  <c r="S11" i="33"/>
  <c r="M13" i="33"/>
  <c r="L4" i="33"/>
  <c r="P7" i="33"/>
  <c r="L8" i="33"/>
  <c r="T10" i="33"/>
  <c r="T11" i="33"/>
  <c r="N13" i="33"/>
  <c r="R15" i="33"/>
  <c r="M4" i="33"/>
  <c r="Q7" i="33"/>
  <c r="M8" i="33"/>
  <c r="U10" i="33"/>
  <c r="U11" i="33"/>
  <c r="O13" i="33"/>
  <c r="S15" i="33"/>
  <c r="S13" i="33"/>
  <c r="T13" i="33"/>
  <c r="N4" i="33"/>
  <c r="R7" i="33"/>
  <c r="N8" i="33"/>
  <c r="V10" i="33"/>
  <c r="V11" i="33"/>
  <c r="P13" i="33"/>
  <c r="T15" i="33"/>
  <c r="O4" i="33"/>
  <c r="S6" i="33"/>
  <c r="S7" i="33"/>
  <c r="O8" i="33"/>
  <c r="K10" i="33"/>
  <c r="K11" i="33"/>
  <c r="Q13" i="33"/>
  <c r="U15" i="33"/>
  <c r="T7" i="33"/>
  <c r="P8" i="33"/>
  <c r="L10" i="33"/>
  <c r="L11" i="33"/>
  <c r="R13" i="33"/>
  <c r="V15" i="33"/>
  <c r="B18" i="7"/>
  <c r="B19" i="7" s="1"/>
  <c r="B21" i="7" s="1"/>
  <c r="B36" i="7" s="1"/>
  <c r="B22" i="7"/>
  <c r="B23" i="7" s="1"/>
  <c r="F46" i="36" l="1"/>
  <c r="F48" i="36" s="1"/>
  <c r="H41" i="36"/>
  <c r="I41" i="36" s="1"/>
  <c r="G46" i="36"/>
  <c r="G48" i="36" s="1"/>
  <c r="G45" i="36"/>
  <c r="H45" i="36"/>
  <c r="E46" i="36"/>
  <c r="E48" i="36" s="1"/>
  <c r="H46" i="36"/>
  <c r="H48" i="36" s="1"/>
  <c r="J3" i="25"/>
  <c r="J15" i="25" s="1"/>
  <c r="I15" i="25"/>
  <c r="J41" i="36"/>
  <c r="I45" i="36"/>
  <c r="I46" i="36"/>
  <c r="I48" i="36" s="1"/>
  <c r="B13" i="36"/>
  <c r="P18" i="33"/>
  <c r="I31" i="19" s="1"/>
  <c r="I34" i="19" s="1"/>
  <c r="I14" i="33"/>
  <c r="K18" i="33"/>
  <c r="D31" i="19" s="1"/>
  <c r="D34" i="19" s="1"/>
  <c r="I16" i="33"/>
  <c r="J5" i="33"/>
  <c r="I5" i="33"/>
  <c r="J9" i="33"/>
  <c r="I9" i="33"/>
  <c r="M35" i="35"/>
  <c r="N13" i="35"/>
  <c r="R18" i="33"/>
  <c r="Y18" i="33"/>
  <c r="O18" i="33"/>
  <c r="H31" i="19" s="1"/>
  <c r="N18" i="33"/>
  <c r="G31" i="19" s="1"/>
  <c r="G34" i="19" s="1"/>
  <c r="AE18" i="33"/>
  <c r="Z18" i="33"/>
  <c r="AB18" i="33"/>
  <c r="X18" i="33"/>
  <c r="S18" i="33"/>
  <c r="L18" i="33"/>
  <c r="E31" i="19" s="1"/>
  <c r="E34" i="19" s="1"/>
  <c r="AD18" i="33"/>
  <c r="U18" i="33"/>
  <c r="AH18" i="33"/>
  <c r="P31" i="19"/>
  <c r="AG18" i="33"/>
  <c r="M18" i="33"/>
  <c r="F31" i="19" s="1"/>
  <c r="F34" i="19" s="1"/>
  <c r="V18" i="33"/>
  <c r="O31" i="19" s="1"/>
  <c r="AF18" i="33"/>
  <c r="AA18" i="33"/>
  <c r="AC18" i="33"/>
  <c r="T18" i="33"/>
  <c r="Q18" i="33"/>
  <c r="I12" i="33"/>
  <c r="J6" i="33"/>
  <c r="I6" i="33"/>
  <c r="J15" i="33"/>
  <c r="I15" i="33"/>
  <c r="I7" i="33"/>
  <c r="J7" i="33"/>
  <c r="J11" i="33"/>
  <c r="J14" i="33"/>
  <c r="I11" i="33"/>
  <c r="I4" i="33"/>
  <c r="J13" i="33"/>
  <c r="J16" i="33"/>
  <c r="J8" i="33"/>
  <c r="I13" i="33"/>
  <c r="J10" i="33"/>
  <c r="I8" i="33"/>
  <c r="I10" i="33"/>
  <c r="J12" i="33"/>
  <c r="K41" i="36" l="1"/>
  <c r="J45" i="36"/>
  <c r="J46" i="36"/>
  <c r="J48" i="36" s="1"/>
  <c r="B15" i="36"/>
  <c r="C15" i="36" s="1"/>
  <c r="K38" i="7"/>
  <c r="K52" i="35"/>
  <c r="S31" i="19"/>
  <c r="S34" i="19" s="1"/>
  <c r="U31" i="19"/>
  <c r="U34" i="19" s="1"/>
  <c r="Y31" i="19"/>
  <c r="Y34" i="19" s="1"/>
  <c r="X31" i="19"/>
  <c r="X34" i="19" s="1"/>
  <c r="AA31" i="19"/>
  <c r="AA34" i="19" s="1"/>
  <c r="L38" i="7"/>
  <c r="L52" i="35"/>
  <c r="Z31" i="19"/>
  <c r="Z34" i="19" s="1"/>
  <c r="K31" i="19"/>
  <c r="K34" i="19" s="1"/>
  <c r="M38" i="7"/>
  <c r="M52" i="35"/>
  <c r="R31" i="19"/>
  <c r="R34" i="19" s="1"/>
  <c r="N31" i="19"/>
  <c r="N34" i="19" s="1"/>
  <c r="W31" i="19"/>
  <c r="W34" i="19" s="1"/>
  <c r="J31" i="19"/>
  <c r="J34" i="19" s="1"/>
  <c r="M31" i="19"/>
  <c r="M34" i="19" s="1"/>
  <c r="V31" i="19"/>
  <c r="V34" i="19" s="1"/>
  <c r="L31" i="19"/>
  <c r="L34" i="19" s="1"/>
  <c r="T31" i="19"/>
  <c r="T34" i="19" s="1"/>
  <c r="Q31" i="19"/>
  <c r="Q34" i="19" s="1"/>
  <c r="O38" i="7"/>
  <c r="O52" i="35"/>
  <c r="I18" i="33"/>
  <c r="AM38" i="7"/>
  <c r="AM52" i="35"/>
  <c r="AS38" i="7"/>
  <c r="AS52" i="35"/>
  <c r="AR38" i="7"/>
  <c r="AR52" i="35"/>
  <c r="AP38" i="7"/>
  <c r="AP52" i="35"/>
  <c r="AJ38" i="7"/>
  <c r="AJ52" i="35"/>
  <c r="AL38" i="7"/>
  <c r="AL52" i="35"/>
  <c r="O34" i="19"/>
  <c r="AI38" i="7"/>
  <c r="AI52" i="35"/>
  <c r="AO38" i="7"/>
  <c r="AO52" i="35"/>
  <c r="AN38" i="7"/>
  <c r="AN52" i="35"/>
  <c r="AQ38" i="7"/>
  <c r="AQ52" i="35"/>
  <c r="AK38" i="7"/>
  <c r="AK52" i="35"/>
  <c r="N35" i="35"/>
  <c r="O6" i="35"/>
  <c r="P34" i="19"/>
  <c r="AH52" i="35"/>
  <c r="H34" i="19"/>
  <c r="J18" i="33"/>
  <c r="L41" i="36" l="1"/>
  <c r="K46" i="36"/>
  <c r="K48" i="36" s="1"/>
  <c r="K45" i="36"/>
  <c r="D15" i="36"/>
  <c r="C28" i="36"/>
  <c r="C50" i="36" s="1"/>
  <c r="B28" i="36"/>
  <c r="B50" i="36" s="1"/>
  <c r="B34" i="19"/>
  <c r="Z52" i="35"/>
  <c r="Z38" i="7"/>
  <c r="AB52" i="35"/>
  <c r="AB38" i="7"/>
  <c r="T52" i="35"/>
  <c r="T38" i="7"/>
  <c r="AE52" i="35"/>
  <c r="AE38" i="7"/>
  <c r="AC38" i="7"/>
  <c r="AC52" i="35"/>
  <c r="W52" i="35"/>
  <c r="W38" i="7"/>
  <c r="Q52" i="35"/>
  <c r="Q38" i="7"/>
  <c r="R38" i="7"/>
  <c r="R52" i="35"/>
  <c r="AF52" i="35"/>
  <c r="AF38" i="7"/>
  <c r="S52" i="35"/>
  <c r="S38" i="7"/>
  <c r="P38" i="7"/>
  <c r="P52" i="35"/>
  <c r="AG38" i="7"/>
  <c r="AG52" i="35"/>
  <c r="AD38" i="7"/>
  <c r="AD52" i="35"/>
  <c r="AA38" i="7"/>
  <c r="AA52" i="35"/>
  <c r="X38" i="7"/>
  <c r="X52" i="35"/>
  <c r="Y38" i="7"/>
  <c r="Y52" i="35"/>
  <c r="B31" i="19"/>
  <c r="J38" i="7"/>
  <c r="J52" i="35"/>
  <c r="C31" i="19"/>
  <c r="V52" i="35"/>
  <c r="C34" i="19"/>
  <c r="N52" i="35"/>
  <c r="U38" i="7"/>
  <c r="U52" i="35"/>
  <c r="D52" i="35"/>
  <c r="E52" i="35" s="1"/>
  <c r="F52" i="35" s="1"/>
  <c r="G52" i="35" s="1"/>
  <c r="H52" i="35" s="1"/>
  <c r="O13" i="35"/>
  <c r="N38" i="7"/>
  <c r="AH38" i="7"/>
  <c r="D38" i="7" s="1"/>
  <c r="E38" i="7" s="1"/>
  <c r="F38" i="7" s="1"/>
  <c r="G38" i="7" s="1"/>
  <c r="H38" i="7" s="1"/>
  <c r="V38" i="7"/>
  <c r="M41" i="36" l="1"/>
  <c r="L45" i="36"/>
  <c r="L46" i="36"/>
  <c r="L48" i="36" s="1"/>
  <c r="E15" i="36"/>
  <c r="D28" i="36"/>
  <c r="D50" i="36" s="1"/>
  <c r="C52" i="35"/>
  <c r="C38" i="7"/>
  <c r="B52" i="35"/>
  <c r="B38" i="7"/>
  <c r="P6" i="35"/>
  <c r="O35" i="35"/>
  <c r="N41" i="36" l="1"/>
  <c r="M45" i="36"/>
  <c r="M46" i="36"/>
  <c r="M48" i="36" s="1"/>
  <c r="F15" i="36"/>
  <c r="E28" i="36"/>
  <c r="E50" i="36" s="1"/>
  <c r="P13" i="35"/>
  <c r="O41" i="36" l="1"/>
  <c r="N46" i="36"/>
  <c r="N48" i="36" s="1"/>
  <c r="N45" i="36"/>
  <c r="G15" i="36"/>
  <c r="F28" i="36"/>
  <c r="F50" i="36" s="1"/>
  <c r="P35" i="35"/>
  <c r="Q6" i="35"/>
  <c r="Q13" i="35" s="1"/>
  <c r="C22" i="9"/>
  <c r="D22" i="9"/>
  <c r="E22" i="9"/>
  <c r="F22" i="9"/>
  <c r="G22" i="9"/>
  <c r="H22" i="9"/>
  <c r="I22" i="9"/>
  <c r="G67" i="24"/>
  <c r="G70" i="24" s="1"/>
  <c r="B23" i="25"/>
  <c r="J23" i="25" s="1"/>
  <c r="B22" i="25"/>
  <c r="E22" i="25" s="1"/>
  <c r="B21" i="25"/>
  <c r="D21" i="25" s="1"/>
  <c r="B20" i="25"/>
  <c r="G20" i="25" s="1"/>
  <c r="B19" i="25"/>
  <c r="D19" i="25" s="1"/>
  <c r="B18" i="25"/>
  <c r="I18" i="25" s="1"/>
  <c r="B17" i="25"/>
  <c r="B16" i="25"/>
  <c r="B20" i="22"/>
  <c r="F20" i="22" s="1"/>
  <c r="B21" i="22"/>
  <c r="D21" i="22" s="1"/>
  <c r="B22" i="22"/>
  <c r="D22" i="22" s="1"/>
  <c r="D3" i="24"/>
  <c r="B16" i="22" s="1"/>
  <c r="J16" i="22" s="1"/>
  <c r="D4" i="24"/>
  <c r="B18" i="22" s="1"/>
  <c r="H18" i="22" s="1"/>
  <c r="D5" i="24"/>
  <c r="B17" i="22" s="1"/>
  <c r="D17" i="22" s="1"/>
  <c r="D6" i="24"/>
  <c r="D7" i="24"/>
  <c r="D8" i="24"/>
  <c r="D9" i="24"/>
  <c r="D10" i="24"/>
  <c r="D11" i="24"/>
  <c r="D12" i="24"/>
  <c r="D13" i="24"/>
  <c r="D14" i="24"/>
  <c r="D15" i="24"/>
  <c r="D2" i="24"/>
  <c r="B15" i="22" s="1"/>
  <c r="H70" i="24"/>
  <c r="H71" i="24" s="1"/>
  <c r="F70" i="24"/>
  <c r="E70" i="24"/>
  <c r="D70" i="24"/>
  <c r="C67" i="24"/>
  <c r="C73" i="24" s="1"/>
  <c r="P41" i="36" l="1"/>
  <c r="O46" i="36"/>
  <c r="O48" i="36" s="1"/>
  <c r="O45" i="36"/>
  <c r="H15" i="36"/>
  <c r="G28" i="36"/>
  <c r="G50" i="36" s="1"/>
  <c r="R6" i="35"/>
  <c r="R13" i="35" s="1"/>
  <c r="Q35" i="35"/>
  <c r="D16" i="25"/>
  <c r="E16" i="25"/>
  <c r="D17" i="25"/>
  <c r="E17" i="25"/>
  <c r="G15" i="22"/>
  <c r="E15" i="22"/>
  <c r="J15" i="22"/>
  <c r="G71" i="24"/>
  <c r="B19" i="22"/>
  <c r="D19" i="22" s="1"/>
  <c r="E71" i="24"/>
  <c r="I16" i="25"/>
  <c r="H16" i="25"/>
  <c r="H19" i="25"/>
  <c r="G19" i="25"/>
  <c r="F19" i="25"/>
  <c r="F71" i="24"/>
  <c r="F18" i="25"/>
  <c r="H18" i="25"/>
  <c r="E18" i="25"/>
  <c r="D18" i="25"/>
  <c r="G18" i="25"/>
  <c r="J16" i="25"/>
  <c r="B24" i="25"/>
  <c r="G23" i="25"/>
  <c r="I17" i="25"/>
  <c r="H23" i="25"/>
  <c r="J19" i="25"/>
  <c r="H17" i="25"/>
  <c r="I23" i="25"/>
  <c r="J17" i="25"/>
  <c r="I19" i="25"/>
  <c r="D20" i="25"/>
  <c r="D22" i="25"/>
  <c r="J21" i="25"/>
  <c r="E23" i="25"/>
  <c r="F21" i="25"/>
  <c r="E21" i="25"/>
  <c r="G16" i="25"/>
  <c r="H22" i="25"/>
  <c r="J20" i="25"/>
  <c r="E19" i="25"/>
  <c r="G17" i="25"/>
  <c r="F20" i="25"/>
  <c r="E20" i="25"/>
  <c r="F23" i="25"/>
  <c r="F16" i="25"/>
  <c r="G22" i="25"/>
  <c r="I20" i="25"/>
  <c r="F17" i="25"/>
  <c r="I21" i="25"/>
  <c r="H21" i="25"/>
  <c r="G21" i="25"/>
  <c r="D23" i="25"/>
  <c r="I22" i="25"/>
  <c r="F22" i="25"/>
  <c r="H20" i="25"/>
  <c r="J18" i="25"/>
  <c r="J22" i="25"/>
  <c r="D15" i="22"/>
  <c r="I16" i="22"/>
  <c r="H16" i="22"/>
  <c r="F16" i="22"/>
  <c r="J21" i="22"/>
  <c r="E20" i="22"/>
  <c r="G18" i="22"/>
  <c r="I21" i="22"/>
  <c r="D20" i="22"/>
  <c r="F18" i="22"/>
  <c r="G16" i="22"/>
  <c r="H21" i="22"/>
  <c r="E18" i="22"/>
  <c r="G21" i="22"/>
  <c r="D18" i="22"/>
  <c r="E16" i="22"/>
  <c r="F21" i="22"/>
  <c r="J17" i="22"/>
  <c r="I15" i="22"/>
  <c r="J22" i="22"/>
  <c r="E21" i="22"/>
  <c r="I17" i="22"/>
  <c r="H15" i="22"/>
  <c r="I22" i="22"/>
  <c r="H17" i="22"/>
  <c r="H22" i="22"/>
  <c r="J20" i="22"/>
  <c r="G17" i="22"/>
  <c r="F15" i="22"/>
  <c r="G22" i="22"/>
  <c r="I20" i="22"/>
  <c r="F17" i="22"/>
  <c r="F22" i="22"/>
  <c r="H20" i="22"/>
  <c r="J18" i="22"/>
  <c r="E17" i="22"/>
  <c r="D16" i="22"/>
  <c r="E22" i="22"/>
  <c r="G20" i="22"/>
  <c r="I18" i="22"/>
  <c r="Q41" i="36" l="1"/>
  <c r="P46" i="36"/>
  <c r="P48" i="36" s="1"/>
  <c r="P45" i="36"/>
  <c r="I15" i="36"/>
  <c r="H28" i="36"/>
  <c r="H50" i="36" s="1"/>
  <c r="R35" i="35"/>
  <c r="S6" i="35"/>
  <c r="S13" i="35" s="1"/>
  <c r="D23" i="22"/>
  <c r="E23" i="22"/>
  <c r="G23" i="22"/>
  <c r="J23" i="22"/>
  <c r="E27" i="25"/>
  <c r="I27" i="25"/>
  <c r="F19" i="22"/>
  <c r="F23" i="22" s="1"/>
  <c r="I19" i="22"/>
  <c r="I23" i="22" s="1"/>
  <c r="B23" i="22"/>
  <c r="E19" i="22"/>
  <c r="J19" i="22"/>
  <c r="G19" i="22"/>
  <c r="J27" i="25"/>
  <c r="J26" i="25" s="1"/>
  <c r="H19" i="22"/>
  <c r="H23" i="22" s="1"/>
  <c r="F27" i="25"/>
  <c r="G27" i="25"/>
  <c r="D26" i="25"/>
  <c r="D27" i="25" s="1"/>
  <c r="E26" i="25" s="1"/>
  <c r="H27" i="25"/>
  <c r="CO16" i="35" l="1"/>
  <c r="CM16" i="35"/>
  <c r="CJ16" i="35"/>
  <c r="CF16" i="35"/>
  <c r="CE16" i="35"/>
  <c r="CN16" i="35"/>
  <c r="CK16" i="35"/>
  <c r="CG16" i="35"/>
  <c r="CL16" i="35"/>
  <c r="CI16" i="35"/>
  <c r="CH16" i="35"/>
  <c r="CD16" i="35"/>
  <c r="F26" i="25"/>
  <c r="AS16" i="35" s="1"/>
  <c r="AK16" i="7"/>
  <c r="AR16" i="35"/>
  <c r="AQ16" i="7"/>
  <c r="AS16" i="7"/>
  <c r="AH16" i="7"/>
  <c r="AJ16" i="7"/>
  <c r="AL16" i="7"/>
  <c r="AJ16" i="35"/>
  <c r="AP16" i="35"/>
  <c r="AI16" i="7"/>
  <c r="AN16" i="35"/>
  <c r="AM16" i="7"/>
  <c r="AN16" i="7"/>
  <c r="AM16" i="35"/>
  <c r="AH16" i="35"/>
  <c r="AO16" i="7"/>
  <c r="AL16" i="35"/>
  <c r="AK16" i="35"/>
  <c r="AI16" i="35"/>
  <c r="AG16" i="35"/>
  <c r="AC16" i="7"/>
  <c r="AD16" i="7"/>
  <c r="AE16" i="35"/>
  <c r="AF16" i="7"/>
  <c r="AG16" i="7"/>
  <c r="W16" i="7"/>
  <c r="Z16" i="35"/>
  <c r="X16" i="7"/>
  <c r="X16" i="35"/>
  <c r="AF16" i="35"/>
  <c r="AE16" i="7"/>
  <c r="V16" i="7"/>
  <c r="Y16" i="35"/>
  <c r="W16" i="35"/>
  <c r="Y16" i="7"/>
  <c r="AB16" i="7"/>
  <c r="AD16" i="35"/>
  <c r="V16" i="35"/>
  <c r="AC16" i="35"/>
  <c r="Z16" i="7"/>
  <c r="AB16" i="35"/>
  <c r="AA16" i="35"/>
  <c r="AA16" i="7"/>
  <c r="R41" i="36"/>
  <c r="Q46" i="36"/>
  <c r="Q48" i="36" s="1"/>
  <c r="Q45" i="36"/>
  <c r="J15" i="36"/>
  <c r="I28" i="36"/>
  <c r="I50" i="36" s="1"/>
  <c r="T6" i="35"/>
  <c r="T13" i="35" s="1"/>
  <c r="S35" i="35"/>
  <c r="CJ16" i="7"/>
  <c r="CL16" i="7"/>
  <c r="CM16" i="7"/>
  <c r="CN16" i="7"/>
  <c r="CO16" i="7"/>
  <c r="CE16" i="7"/>
  <c r="CF16" i="7"/>
  <c r="CH16" i="7"/>
  <c r="CK16" i="7"/>
  <c r="CD16" i="7"/>
  <c r="CI16" i="7"/>
  <c r="CG16" i="7"/>
  <c r="I26" i="25"/>
  <c r="G26" i="25"/>
  <c r="H26" i="25"/>
  <c r="H16" i="35" l="1"/>
  <c r="CC16" i="35"/>
  <c r="BY16" i="7"/>
  <c r="CB16" i="35"/>
  <c r="BZ16" i="7"/>
  <c r="CA16" i="35"/>
  <c r="CA16" i="7"/>
  <c r="CC16" i="7"/>
  <c r="BS16" i="7"/>
  <c r="BT16" i="7"/>
  <c r="BU16" i="7"/>
  <c r="BW16" i="7"/>
  <c r="CB16" i="7"/>
  <c r="BV16" i="7"/>
  <c r="BR16" i="7"/>
  <c r="BZ16" i="35"/>
  <c r="BU16" i="35"/>
  <c r="BT16" i="35"/>
  <c r="BY16" i="35"/>
  <c r="BR16" i="35"/>
  <c r="BX16" i="35"/>
  <c r="BS16" i="35"/>
  <c r="BW16" i="35"/>
  <c r="BX16" i="7"/>
  <c r="BV16" i="35"/>
  <c r="BQ16" i="35"/>
  <c r="BN16" i="7"/>
  <c r="BO16" i="7"/>
  <c r="BO16" i="35"/>
  <c r="BQ16" i="7"/>
  <c r="BG16" i="7"/>
  <c r="BH16" i="7"/>
  <c r="BJ16" i="35"/>
  <c r="BJ16" i="7"/>
  <c r="BG16" i="35"/>
  <c r="BP16" i="35"/>
  <c r="BP16" i="7"/>
  <c r="BN16" i="35"/>
  <c r="BI16" i="7"/>
  <c r="BK16" i="7"/>
  <c r="BF16" i="35"/>
  <c r="BF16" i="7"/>
  <c r="BH16" i="35"/>
  <c r="BM16" i="35"/>
  <c r="BL16" i="35"/>
  <c r="BI16" i="35"/>
  <c r="BK16" i="35"/>
  <c r="BL16" i="7"/>
  <c r="BM16" i="7"/>
  <c r="AO16" i="35"/>
  <c r="AR16" i="7"/>
  <c r="AP16" i="7"/>
  <c r="BE16" i="35"/>
  <c r="BB16" i="7"/>
  <c r="AY16" i="7"/>
  <c r="AZ16" i="7"/>
  <c r="BA16" i="7"/>
  <c r="BD16" i="35"/>
  <c r="BC16" i="7"/>
  <c r="BC16" i="35"/>
  <c r="BD16" i="7"/>
  <c r="AU16" i="7"/>
  <c r="AV16" i="7"/>
  <c r="AW16" i="7"/>
  <c r="AX16" i="7"/>
  <c r="BB16" i="35"/>
  <c r="BE16" i="7"/>
  <c r="BA16" i="35"/>
  <c r="AT16" i="7"/>
  <c r="AZ16" i="35"/>
  <c r="AY16" i="35"/>
  <c r="AX16" i="35"/>
  <c r="AW16" i="35"/>
  <c r="AV16" i="35"/>
  <c r="AU16" i="35"/>
  <c r="AT16" i="35"/>
  <c r="AQ16" i="35"/>
  <c r="D16" i="35"/>
  <c r="C16" i="35"/>
  <c r="C16" i="7"/>
  <c r="S41" i="36"/>
  <c r="R45" i="36"/>
  <c r="R46" i="36"/>
  <c r="R48" i="36" s="1"/>
  <c r="K15" i="36"/>
  <c r="J28" i="36"/>
  <c r="J50" i="36" s="1"/>
  <c r="T35" i="35"/>
  <c r="U6" i="35"/>
  <c r="B6" i="35" s="1"/>
  <c r="H16" i="7"/>
  <c r="J1" i="7"/>
  <c r="I19" i="9"/>
  <c r="D16" i="7" l="1"/>
  <c r="H22" i="35"/>
  <c r="H18" i="35"/>
  <c r="H19" i="35" s="1"/>
  <c r="H21" i="35" s="1"/>
  <c r="H50" i="35" s="1"/>
  <c r="G16" i="35"/>
  <c r="G16" i="7"/>
  <c r="F16" i="7"/>
  <c r="F16" i="35"/>
  <c r="D18" i="7"/>
  <c r="D19" i="7" s="1"/>
  <c r="D21" i="7" s="1"/>
  <c r="D36" i="7" s="1"/>
  <c r="D22" i="7"/>
  <c r="E16" i="7"/>
  <c r="E16" i="35"/>
  <c r="D18" i="35"/>
  <c r="D19" i="35" s="1"/>
  <c r="D21" i="35" s="1"/>
  <c r="D50" i="35" s="1"/>
  <c r="D22" i="35"/>
  <c r="C18" i="7"/>
  <c r="C19" i="7" s="1"/>
  <c r="C21" i="7" s="1"/>
  <c r="C36" i="7" s="1"/>
  <c r="C22" i="7"/>
  <c r="C23" i="7" s="1"/>
  <c r="C18" i="35"/>
  <c r="C19" i="35" s="1"/>
  <c r="C21" i="35" s="1"/>
  <c r="C50" i="35" s="1"/>
  <c r="C22" i="35"/>
  <c r="C23" i="35" s="1"/>
  <c r="T41" i="36"/>
  <c r="S45" i="36"/>
  <c r="S46" i="36"/>
  <c r="S48" i="36" s="1"/>
  <c r="L15" i="36"/>
  <c r="K28" i="36"/>
  <c r="K50" i="36" s="1"/>
  <c r="B12" i="35"/>
  <c r="B13" i="35" s="1"/>
  <c r="B8" i="35"/>
  <c r="B9" i="35" s="1"/>
  <c r="B11" i="35" s="1"/>
  <c r="B49" i="35" s="1"/>
  <c r="B55" i="35" s="1"/>
  <c r="U13" i="35"/>
  <c r="H22" i="7"/>
  <c r="H18" i="7"/>
  <c r="H19" i="7" s="1"/>
  <c r="H21" i="7" s="1"/>
  <c r="H36" i="7" s="1"/>
  <c r="CD2" i="7"/>
  <c r="CE2" i="7"/>
  <c r="CF2" i="7"/>
  <c r="CG2" i="7"/>
  <c r="CH2" i="7"/>
  <c r="CI2" i="7"/>
  <c r="CJ2" i="7"/>
  <c r="CK2" i="7"/>
  <c r="CL2" i="7"/>
  <c r="CM2" i="7"/>
  <c r="CN2" i="7"/>
  <c r="CO2" i="7"/>
  <c r="CC2" i="7"/>
  <c r="BR2" i="7"/>
  <c r="BS2" i="7"/>
  <c r="BT2" i="7"/>
  <c r="BU2" i="7"/>
  <c r="BV2" i="7"/>
  <c r="BW2" i="7"/>
  <c r="BX2" i="7"/>
  <c r="BY2" i="7"/>
  <c r="BZ2" i="7"/>
  <c r="CA2" i="7"/>
  <c r="CB2" i="7"/>
  <c r="I26" i="9"/>
  <c r="H26" i="9"/>
  <c r="H19" i="9"/>
  <c r="G19" i="9"/>
  <c r="C19" i="9"/>
  <c r="J6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K13" i="7"/>
  <c r="D19" i="9"/>
  <c r="E19" i="9"/>
  <c r="F19" i="9"/>
  <c r="G26" i="9"/>
  <c r="F26" i="9"/>
  <c r="E26" i="9"/>
  <c r="D26" i="9"/>
  <c r="C26" i="9"/>
  <c r="G18" i="7" l="1"/>
  <c r="G19" i="7" s="1"/>
  <c r="G21" i="7" s="1"/>
  <c r="G36" i="7" s="1"/>
  <c r="G22" i="7"/>
  <c r="G18" i="35"/>
  <c r="G19" i="35" s="1"/>
  <c r="G21" i="35" s="1"/>
  <c r="G50" i="35" s="1"/>
  <c r="G22" i="35"/>
  <c r="F22" i="35"/>
  <c r="F18" i="35"/>
  <c r="F19" i="35" s="1"/>
  <c r="F21" i="35" s="1"/>
  <c r="F50" i="35" s="1"/>
  <c r="F18" i="7"/>
  <c r="F19" i="7" s="1"/>
  <c r="F21" i="7" s="1"/>
  <c r="F36" i="7" s="1"/>
  <c r="F22" i="7"/>
  <c r="E22" i="7"/>
  <c r="E18" i="7"/>
  <c r="E19" i="7" s="1"/>
  <c r="E21" i="7" s="1"/>
  <c r="E36" i="7" s="1"/>
  <c r="E22" i="35"/>
  <c r="E18" i="35"/>
  <c r="E19" i="35" s="1"/>
  <c r="E21" i="35" s="1"/>
  <c r="E50" i="35" s="1"/>
  <c r="D23" i="35"/>
  <c r="C39" i="35"/>
  <c r="D23" i="7"/>
  <c r="U41" i="36"/>
  <c r="T45" i="36"/>
  <c r="T46" i="36"/>
  <c r="T48" i="36" s="1"/>
  <c r="M15" i="36"/>
  <c r="L28" i="36"/>
  <c r="L50" i="36" s="1"/>
  <c r="U35" i="35"/>
  <c r="B35" i="35" s="1"/>
  <c r="V6" i="35"/>
  <c r="V13" i="35" s="1"/>
  <c r="K29" i="7"/>
  <c r="J29" i="7"/>
  <c r="L13" i="7"/>
  <c r="E23" i="7" l="1"/>
  <c r="D39" i="35"/>
  <c r="E23" i="35"/>
  <c r="V41" i="36"/>
  <c r="U45" i="36"/>
  <c r="U46" i="36"/>
  <c r="U48" i="36" s="1"/>
  <c r="N15" i="36"/>
  <c r="M28" i="36"/>
  <c r="M50" i="36" s="1"/>
  <c r="V35" i="35"/>
  <c r="W6" i="35"/>
  <c r="W13" i="35" s="1"/>
  <c r="V7" i="34"/>
  <c r="L29" i="7"/>
  <c r="M13" i="7"/>
  <c r="F23" i="35" l="1"/>
  <c r="E39" i="35"/>
  <c r="F23" i="7"/>
  <c r="W41" i="36"/>
  <c r="V45" i="36"/>
  <c r="V46" i="36"/>
  <c r="V48" i="36" s="1"/>
  <c r="O15" i="36"/>
  <c r="N28" i="36"/>
  <c r="N50" i="36" s="1"/>
  <c r="G6" i="34"/>
  <c r="G27" i="35"/>
  <c r="W28" i="35"/>
  <c r="W35" i="35"/>
  <c r="X6" i="35"/>
  <c r="AT27" i="35"/>
  <c r="AZ27" i="35"/>
  <c r="AY27" i="35"/>
  <c r="AX27" i="35"/>
  <c r="AW27" i="35"/>
  <c r="AV27" i="35"/>
  <c r="AU27" i="35"/>
  <c r="E27" i="35"/>
  <c r="BE27" i="35"/>
  <c r="BD27" i="35"/>
  <c r="BC27" i="35"/>
  <c r="BB27" i="35"/>
  <c r="BA27" i="35"/>
  <c r="H6" i="34"/>
  <c r="H27" i="35"/>
  <c r="CD27" i="35"/>
  <c r="BR27" i="35"/>
  <c r="BF27" i="35"/>
  <c r="CM27" i="35"/>
  <c r="BZ27" i="35"/>
  <c r="BM27" i="35"/>
  <c r="CL27" i="35"/>
  <c r="BY27" i="35"/>
  <c r="BL27" i="35"/>
  <c r="CK27" i="35"/>
  <c r="BX27" i="35"/>
  <c r="BK27" i="35"/>
  <c r="CJ27" i="35"/>
  <c r="BW27" i="35"/>
  <c r="BJ27" i="35"/>
  <c r="CI27" i="35"/>
  <c r="BV27" i="35"/>
  <c r="BI27" i="35"/>
  <c r="CH27" i="35"/>
  <c r="BU27" i="35"/>
  <c r="BH27" i="35"/>
  <c r="F27" i="35"/>
  <c r="CG27" i="35"/>
  <c r="BT27" i="35"/>
  <c r="BG27" i="35"/>
  <c r="CF27" i="35"/>
  <c r="BS27" i="35"/>
  <c r="CO27" i="35"/>
  <c r="CN27" i="35"/>
  <c r="CE27" i="35"/>
  <c r="CC27" i="35"/>
  <c r="CB27" i="35"/>
  <c r="BP27" i="35"/>
  <c r="CA27" i="35"/>
  <c r="BQ27" i="35"/>
  <c r="BO27" i="35"/>
  <c r="BN27" i="35"/>
  <c r="AH27" i="35"/>
  <c r="AM27" i="35"/>
  <c r="AL27" i="35"/>
  <c r="AK27" i="35"/>
  <c r="AJ27" i="35"/>
  <c r="AI27" i="35"/>
  <c r="AS27" i="35"/>
  <c r="AR27" i="35"/>
  <c r="D27" i="35"/>
  <c r="AQ27" i="35"/>
  <c r="AP27" i="35"/>
  <c r="AO27" i="35"/>
  <c r="AN27" i="35"/>
  <c r="J28" i="35"/>
  <c r="L28" i="35"/>
  <c r="K28" i="35"/>
  <c r="M28" i="35"/>
  <c r="N28" i="35"/>
  <c r="O28" i="35"/>
  <c r="P28" i="35"/>
  <c r="Q28" i="35"/>
  <c r="R28" i="35"/>
  <c r="S28" i="35"/>
  <c r="T28" i="35"/>
  <c r="U28" i="35"/>
  <c r="J27" i="35"/>
  <c r="M27" i="35"/>
  <c r="L27" i="35"/>
  <c r="K27" i="35"/>
  <c r="U27" i="35"/>
  <c r="T27" i="35"/>
  <c r="S27" i="35"/>
  <c r="R27" i="35"/>
  <c r="Q27" i="35"/>
  <c r="P27" i="35"/>
  <c r="O27" i="35"/>
  <c r="N27" i="35"/>
  <c r="B27" i="35"/>
  <c r="V27" i="35"/>
  <c r="Z27" i="35"/>
  <c r="Y27" i="35"/>
  <c r="X27" i="35"/>
  <c r="W27" i="35"/>
  <c r="AG27" i="35"/>
  <c r="AF27" i="35"/>
  <c r="AE27" i="35"/>
  <c r="AC27" i="35"/>
  <c r="C27" i="35"/>
  <c r="AD27" i="35"/>
  <c r="AB27" i="35"/>
  <c r="AA27" i="35"/>
  <c r="V28" i="35"/>
  <c r="V9" i="34"/>
  <c r="CI6" i="34"/>
  <c r="BW6" i="34"/>
  <c r="BK6" i="34"/>
  <c r="CH6" i="34"/>
  <c r="BV6" i="34"/>
  <c r="BJ6" i="34"/>
  <c r="CG6" i="34"/>
  <c r="BU6" i="34"/>
  <c r="BI6" i="34"/>
  <c r="CF6" i="34"/>
  <c r="BT6" i="34"/>
  <c r="BH6" i="34"/>
  <c r="CE6" i="34"/>
  <c r="BS6" i="34"/>
  <c r="BG6" i="34"/>
  <c r="CD6" i="34"/>
  <c r="BR6" i="34"/>
  <c r="BF6" i="34"/>
  <c r="CO6" i="34"/>
  <c r="CC6" i="34"/>
  <c r="BQ6" i="34"/>
  <c r="CN6" i="34"/>
  <c r="CB6" i="34"/>
  <c r="BP6" i="34"/>
  <c r="CM6" i="34"/>
  <c r="CA6" i="34"/>
  <c r="BO6" i="34"/>
  <c r="F6" i="34"/>
  <c r="BY6" i="34"/>
  <c r="BX6" i="34"/>
  <c r="CL6" i="34"/>
  <c r="BN6" i="34"/>
  <c r="BM6" i="34"/>
  <c r="BL6" i="34"/>
  <c r="CJ6" i="34"/>
  <c r="CK6" i="34"/>
  <c r="BZ6" i="34"/>
  <c r="AY6" i="34"/>
  <c r="AX6" i="34"/>
  <c r="AW6" i="34"/>
  <c r="AV6" i="34"/>
  <c r="AU6" i="34"/>
  <c r="AT6" i="34"/>
  <c r="BE6" i="34"/>
  <c r="BD6" i="34"/>
  <c r="BC6" i="34"/>
  <c r="AZ6" i="34"/>
  <c r="BB6" i="34"/>
  <c r="E6" i="34"/>
  <c r="BA6" i="34"/>
  <c r="O6" i="34"/>
  <c r="B6" i="34"/>
  <c r="N6" i="34"/>
  <c r="M6" i="34"/>
  <c r="L6" i="34"/>
  <c r="K6" i="34"/>
  <c r="J6" i="34"/>
  <c r="U6" i="34"/>
  <c r="T6" i="34"/>
  <c r="S6" i="34"/>
  <c r="R6" i="34"/>
  <c r="Q6" i="34"/>
  <c r="P6" i="34"/>
  <c r="K7" i="34"/>
  <c r="J7" i="34"/>
  <c r="L7" i="34"/>
  <c r="M7" i="34"/>
  <c r="N7" i="34"/>
  <c r="O7" i="34"/>
  <c r="P7" i="34"/>
  <c r="Q7" i="34"/>
  <c r="R7" i="34"/>
  <c r="S7" i="34"/>
  <c r="T7" i="34"/>
  <c r="U7" i="34"/>
  <c r="AA6" i="34"/>
  <c r="Z6" i="34"/>
  <c r="Y6" i="34"/>
  <c r="X6" i="34"/>
  <c r="W6" i="34"/>
  <c r="V6" i="34"/>
  <c r="V8" i="34" s="1"/>
  <c r="AG6" i="34"/>
  <c r="AF6" i="34"/>
  <c r="AE6" i="34"/>
  <c r="AC6" i="34"/>
  <c r="AB6" i="34"/>
  <c r="C6" i="34"/>
  <c r="AD6" i="34"/>
  <c r="AM6" i="34"/>
  <c r="AL6" i="34"/>
  <c r="AK6" i="34"/>
  <c r="AJ6" i="34"/>
  <c r="AI6" i="34"/>
  <c r="AH6" i="34"/>
  <c r="AS6" i="34"/>
  <c r="AR6" i="34"/>
  <c r="AQ6" i="34"/>
  <c r="AO6" i="34"/>
  <c r="AP6" i="34"/>
  <c r="D6" i="34"/>
  <c r="AN6" i="34"/>
  <c r="L26" i="7"/>
  <c r="M29" i="7"/>
  <c r="N13" i="7"/>
  <c r="O6" i="7" s="1"/>
  <c r="G23" i="7" l="1"/>
  <c r="F39" i="35"/>
  <c r="G23" i="35"/>
  <c r="X41" i="36"/>
  <c r="W46" i="36"/>
  <c r="W48" i="36" s="1"/>
  <c r="W45" i="36"/>
  <c r="P15" i="36"/>
  <c r="O28" i="36"/>
  <c r="O50" i="36" s="1"/>
  <c r="B28" i="35"/>
  <c r="J37" i="35"/>
  <c r="J30" i="35"/>
  <c r="J29" i="35"/>
  <c r="U30" i="35"/>
  <c r="U37" i="35"/>
  <c r="U29" i="35"/>
  <c r="T37" i="35"/>
  <c r="T30" i="35"/>
  <c r="T29" i="35"/>
  <c r="S37" i="35"/>
  <c r="S30" i="35"/>
  <c r="S29" i="35"/>
  <c r="Q30" i="35"/>
  <c r="Q37" i="35"/>
  <c r="Q29" i="35"/>
  <c r="P37" i="35"/>
  <c r="P29" i="35"/>
  <c r="P30" i="35"/>
  <c r="O37" i="35"/>
  <c r="O29" i="35"/>
  <c r="O30" i="35"/>
  <c r="X13" i="35"/>
  <c r="V30" i="35"/>
  <c r="V37" i="35"/>
  <c r="V29" i="35"/>
  <c r="M30" i="35"/>
  <c r="M37" i="35"/>
  <c r="M29" i="35"/>
  <c r="W30" i="35"/>
  <c r="W29" i="35"/>
  <c r="W37" i="35"/>
  <c r="N30" i="35"/>
  <c r="N37" i="35"/>
  <c r="N29" i="35"/>
  <c r="K29" i="35"/>
  <c r="K30" i="35"/>
  <c r="K37" i="35"/>
  <c r="R30" i="35"/>
  <c r="R37" i="35"/>
  <c r="R29" i="35"/>
  <c r="L29" i="35"/>
  <c r="L30" i="35"/>
  <c r="L37" i="35"/>
  <c r="V17" i="34"/>
  <c r="V10" i="34"/>
  <c r="V11" i="34" s="1"/>
  <c r="T8" i="34"/>
  <c r="T9" i="34"/>
  <c r="S8" i="34"/>
  <c r="S9" i="34"/>
  <c r="W7" i="34"/>
  <c r="Q9" i="34"/>
  <c r="Q8" i="34"/>
  <c r="P9" i="34"/>
  <c r="P8" i="34"/>
  <c r="N8" i="34"/>
  <c r="N9" i="34"/>
  <c r="R9" i="34"/>
  <c r="R8" i="34"/>
  <c r="O8" i="34"/>
  <c r="O9" i="34"/>
  <c r="M8" i="34"/>
  <c r="M9" i="34"/>
  <c r="L8" i="34"/>
  <c r="L9" i="34"/>
  <c r="J9" i="34"/>
  <c r="B7" i="34"/>
  <c r="J8" i="34"/>
  <c r="U8" i="34"/>
  <c r="U9" i="34"/>
  <c r="K8" i="34"/>
  <c r="K9" i="34"/>
  <c r="K26" i="7"/>
  <c r="J26" i="7"/>
  <c r="M26" i="7"/>
  <c r="O13" i="7"/>
  <c r="N29" i="7"/>
  <c r="H23" i="7" l="1"/>
  <c r="H23" i="35"/>
  <c r="H39" i="35" s="1"/>
  <c r="G39" i="35"/>
  <c r="Y41" i="36"/>
  <c r="X45" i="36"/>
  <c r="X46" i="36"/>
  <c r="X48" i="36" s="1"/>
  <c r="Q15" i="36"/>
  <c r="P28" i="36"/>
  <c r="P50" i="36" s="1"/>
  <c r="O31" i="35"/>
  <c r="O32" i="35" s="1"/>
  <c r="O41" i="35" s="1"/>
  <c r="O44" i="35" s="1"/>
  <c r="O43" i="35"/>
  <c r="T43" i="35"/>
  <c r="T31" i="35"/>
  <c r="W31" i="35"/>
  <c r="W32" i="35" s="1"/>
  <c r="W41" i="35" s="1"/>
  <c r="W44" i="35" s="1"/>
  <c r="W43" i="35"/>
  <c r="T32" i="35"/>
  <c r="T41" i="35" s="1"/>
  <c r="T44" i="35" s="1"/>
  <c r="T45" i="35" s="1"/>
  <c r="L43" i="35"/>
  <c r="L31" i="35"/>
  <c r="L32" i="35" s="1"/>
  <c r="L41" i="35" s="1"/>
  <c r="L44" i="35" s="1"/>
  <c r="R43" i="35"/>
  <c r="R31" i="35"/>
  <c r="R32" i="35" s="1"/>
  <c r="R41" i="35" s="1"/>
  <c r="R44" i="35" s="1"/>
  <c r="R45" i="35" s="1"/>
  <c r="U43" i="35"/>
  <c r="U31" i="35"/>
  <c r="U32" i="35" s="1"/>
  <c r="U41" i="35" s="1"/>
  <c r="U44" i="35" s="1"/>
  <c r="P43" i="35"/>
  <c r="P31" i="35"/>
  <c r="P32" i="35" s="1"/>
  <c r="P41" i="35" s="1"/>
  <c r="P44" i="35" s="1"/>
  <c r="P45" i="35" s="1"/>
  <c r="M43" i="35"/>
  <c r="M31" i="35"/>
  <c r="M32" i="35" s="1"/>
  <c r="M41" i="35" s="1"/>
  <c r="M44" i="35" s="1"/>
  <c r="V43" i="35"/>
  <c r="V31" i="35"/>
  <c r="V32" i="35" s="1"/>
  <c r="Q43" i="35"/>
  <c r="Q31" i="35"/>
  <c r="Q32" i="35" s="1"/>
  <c r="Q41" i="35" s="1"/>
  <c r="Q44" i="35" s="1"/>
  <c r="J43" i="35"/>
  <c r="J31" i="35"/>
  <c r="B31" i="35" s="1"/>
  <c r="B29" i="35"/>
  <c r="B43" i="35" s="1"/>
  <c r="B30" i="35"/>
  <c r="K31" i="35"/>
  <c r="K32" i="35" s="1"/>
  <c r="K41" i="35" s="1"/>
  <c r="K44" i="35" s="1"/>
  <c r="K43" i="35"/>
  <c r="B37" i="35"/>
  <c r="N43" i="35"/>
  <c r="N31" i="35"/>
  <c r="N32" i="35" s="1"/>
  <c r="N41" i="35" s="1"/>
  <c r="N44" i="35" s="1"/>
  <c r="S43" i="35"/>
  <c r="S31" i="35"/>
  <c r="S32" i="35" s="1"/>
  <c r="S41" i="35" s="1"/>
  <c r="S44" i="35" s="1"/>
  <c r="X28" i="35"/>
  <c r="X35" i="35"/>
  <c r="Y13" i="35"/>
  <c r="Y6" i="35"/>
  <c r="P17" i="34"/>
  <c r="P10" i="34"/>
  <c r="P11" i="34" s="1"/>
  <c r="P15" i="34" s="1"/>
  <c r="P18" i="34" s="1"/>
  <c r="P19" i="34" s="1"/>
  <c r="L17" i="34"/>
  <c r="L10" i="34"/>
  <c r="L11" i="34" s="1"/>
  <c r="L15" i="34" s="1"/>
  <c r="L18" i="34" s="1"/>
  <c r="L19" i="34" s="1"/>
  <c r="K10" i="34"/>
  <c r="K11" i="34" s="1"/>
  <c r="K15" i="34" s="1"/>
  <c r="K18" i="34" s="1"/>
  <c r="K17" i="34"/>
  <c r="N17" i="34"/>
  <c r="N10" i="34"/>
  <c r="N11" i="34" s="1"/>
  <c r="N15" i="34" s="1"/>
  <c r="N18" i="34" s="1"/>
  <c r="S17" i="34"/>
  <c r="S10" i="34"/>
  <c r="S11" i="34" s="1"/>
  <c r="S15" i="34" s="1"/>
  <c r="S18" i="34" s="1"/>
  <c r="O17" i="34"/>
  <c r="O10" i="34"/>
  <c r="O11" i="34" s="1"/>
  <c r="O15" i="34" s="1"/>
  <c r="O18" i="34" s="1"/>
  <c r="J17" i="34"/>
  <c r="J10" i="34"/>
  <c r="J11" i="34" s="1"/>
  <c r="B8" i="34"/>
  <c r="B17" i="34" s="1"/>
  <c r="Q17" i="34"/>
  <c r="Q10" i="34"/>
  <c r="Q11" i="34" s="1"/>
  <c r="Q15" i="34" s="1"/>
  <c r="Q18" i="34" s="1"/>
  <c r="T17" i="34"/>
  <c r="T10" i="34"/>
  <c r="T11" i="34" s="1"/>
  <c r="T15" i="34" s="1"/>
  <c r="T18" i="34" s="1"/>
  <c r="V15" i="34"/>
  <c r="V18" i="34" s="1"/>
  <c r="V19" i="34" s="1"/>
  <c r="M17" i="34"/>
  <c r="M10" i="34"/>
  <c r="M11" i="34" s="1"/>
  <c r="M15" i="34" s="1"/>
  <c r="M18" i="34" s="1"/>
  <c r="U17" i="34"/>
  <c r="U10" i="34"/>
  <c r="U11" i="34" s="1"/>
  <c r="U15" i="34" s="1"/>
  <c r="U18" i="34" s="1"/>
  <c r="B9" i="34"/>
  <c r="R17" i="34"/>
  <c r="R10" i="34"/>
  <c r="R11" i="34" s="1"/>
  <c r="R15" i="34" s="1"/>
  <c r="R18" i="34" s="1"/>
  <c r="W8" i="34"/>
  <c r="W9" i="34"/>
  <c r="J31" i="7"/>
  <c r="K31" i="7"/>
  <c r="L31" i="7"/>
  <c r="M31" i="7"/>
  <c r="P6" i="7"/>
  <c r="P13" i="7" s="1"/>
  <c r="O29" i="7"/>
  <c r="N26" i="7"/>
  <c r="Z41" i="36" l="1"/>
  <c r="Y46" i="36"/>
  <c r="Y48" i="36" s="1"/>
  <c r="Y45" i="36"/>
  <c r="R15" i="36"/>
  <c r="Q28" i="36"/>
  <c r="Q50" i="36" s="1"/>
  <c r="M19" i="34"/>
  <c r="K45" i="35"/>
  <c r="Q45" i="35"/>
  <c r="T19" i="34"/>
  <c r="N45" i="35"/>
  <c r="O45" i="35"/>
  <c r="K19" i="34"/>
  <c r="U19" i="34"/>
  <c r="O19" i="34"/>
  <c r="S19" i="34"/>
  <c r="S45" i="35"/>
  <c r="L45" i="35"/>
  <c r="W45" i="35"/>
  <c r="Q19" i="34"/>
  <c r="U45" i="35"/>
  <c r="N19" i="34"/>
  <c r="M45" i="35"/>
  <c r="J32" i="35"/>
  <c r="V41" i="35"/>
  <c r="V44" i="35" s="1"/>
  <c r="V45" i="35" s="1"/>
  <c r="Y35" i="35"/>
  <c r="Y28" i="35"/>
  <c r="Z6" i="35"/>
  <c r="Z13" i="35" s="1"/>
  <c r="R19" i="34"/>
  <c r="X29" i="35"/>
  <c r="X37" i="35"/>
  <c r="X30" i="35"/>
  <c r="X7" i="34"/>
  <c r="W10" i="34"/>
  <c r="W17" i="34"/>
  <c r="B11" i="34"/>
  <c r="J15" i="34"/>
  <c r="J18" i="34" s="1"/>
  <c r="J19" i="34" s="1"/>
  <c r="B10" i="34"/>
  <c r="N31" i="7"/>
  <c r="O26" i="7"/>
  <c r="P29" i="7"/>
  <c r="Q6" i="7"/>
  <c r="Q13" i="7" s="1"/>
  <c r="AA41" i="36" l="1"/>
  <c r="Z45" i="36"/>
  <c r="Z46" i="36"/>
  <c r="Z48" i="36" s="1"/>
  <c r="S15" i="36"/>
  <c r="R28" i="36"/>
  <c r="R50" i="36" s="1"/>
  <c r="Z35" i="35"/>
  <c r="Z28" i="35"/>
  <c r="AA6" i="35"/>
  <c r="AA13" i="35" s="1"/>
  <c r="Y29" i="35"/>
  <c r="Y30" i="35"/>
  <c r="Y37" i="35"/>
  <c r="B32" i="35"/>
  <c r="J41" i="35"/>
  <c r="J44" i="35" s="1"/>
  <c r="J45" i="35" s="1"/>
  <c r="X31" i="35"/>
  <c r="X32" i="35" s="1"/>
  <c r="X43" i="35"/>
  <c r="Y7" i="34"/>
  <c r="W11" i="34"/>
  <c r="X8" i="34"/>
  <c r="X9" i="34"/>
  <c r="B15" i="34"/>
  <c r="B12" i="34"/>
  <c r="O31" i="7"/>
  <c r="Q29" i="7"/>
  <c r="R6" i="7"/>
  <c r="R13" i="7" s="1"/>
  <c r="P26" i="7"/>
  <c r="AB41" i="36" l="1"/>
  <c r="AA45" i="36"/>
  <c r="AA46" i="36"/>
  <c r="AA48" i="36" s="1"/>
  <c r="T15" i="36"/>
  <c r="S28" i="36"/>
  <c r="S50" i="36" s="1"/>
  <c r="X41" i="35"/>
  <c r="X44" i="35" s="1"/>
  <c r="X45" i="35" s="1"/>
  <c r="B41" i="35"/>
  <c r="B33" i="35"/>
  <c r="Y31" i="35"/>
  <c r="Y32" i="35" s="1"/>
  <c r="Y41" i="35" s="1"/>
  <c r="Y44" i="35" s="1"/>
  <c r="Y43" i="35"/>
  <c r="AA28" i="35"/>
  <c r="AA35" i="35"/>
  <c r="AB6" i="35"/>
  <c r="AB13" i="35" s="1"/>
  <c r="Z30" i="35"/>
  <c r="Z29" i="35"/>
  <c r="Z37" i="35"/>
  <c r="B18" i="34"/>
  <c r="B19" i="34" s="1"/>
  <c r="X17" i="34"/>
  <c r="X10" i="34"/>
  <c r="Y8" i="34"/>
  <c r="Y9" i="34"/>
  <c r="Z7" i="34"/>
  <c r="W15" i="34"/>
  <c r="W18" i="34" s="1"/>
  <c r="W19" i="34" s="1"/>
  <c r="P31" i="7"/>
  <c r="R29" i="7"/>
  <c r="S6" i="7"/>
  <c r="S13" i="7" s="1"/>
  <c r="Q26" i="7"/>
  <c r="AC41" i="36" l="1"/>
  <c r="AB45" i="36"/>
  <c r="AB46" i="36"/>
  <c r="AB48" i="36" s="1"/>
  <c r="U15" i="36"/>
  <c r="T28" i="36"/>
  <c r="T50" i="36" s="1"/>
  <c r="Y45" i="35"/>
  <c r="AB35" i="35"/>
  <c r="AC6" i="35"/>
  <c r="AC13" i="35" s="1"/>
  <c r="AB28" i="35"/>
  <c r="AA30" i="35"/>
  <c r="AA37" i="35"/>
  <c r="AA29" i="35"/>
  <c r="B44" i="35"/>
  <c r="B45" i="35" s="1"/>
  <c r="B58" i="35"/>
  <c r="B63" i="35" s="1"/>
  <c r="C62" i="35" s="1"/>
  <c r="Z31" i="35"/>
  <c r="Z32" i="35" s="1"/>
  <c r="Z43" i="35"/>
  <c r="AA7" i="34"/>
  <c r="Y10" i="34"/>
  <c r="Y11" i="34" s="1"/>
  <c r="Y15" i="34" s="1"/>
  <c r="Y18" i="34" s="1"/>
  <c r="Y17" i="34"/>
  <c r="Z9" i="34"/>
  <c r="Z8" i="34"/>
  <c r="X11" i="34"/>
  <c r="S29" i="7"/>
  <c r="T6" i="7"/>
  <c r="T13" i="7" s="1"/>
  <c r="R26" i="7"/>
  <c r="AD41" i="36" l="1"/>
  <c r="AC45" i="36"/>
  <c r="AC46" i="36"/>
  <c r="AC48" i="36" s="1"/>
  <c r="V15" i="36"/>
  <c r="U28" i="36"/>
  <c r="U50" i="36" s="1"/>
  <c r="Y19" i="34"/>
  <c r="Z41" i="35"/>
  <c r="Z44" i="35" s="1"/>
  <c r="Z45" i="35" s="1"/>
  <c r="AC35" i="35"/>
  <c r="AD6" i="35"/>
  <c r="AD13" i="35" s="1"/>
  <c r="AC28" i="35"/>
  <c r="AA31" i="35"/>
  <c r="AA32" i="35" s="1"/>
  <c r="AA41" i="35" s="1"/>
  <c r="AA44" i="35" s="1"/>
  <c r="AA43" i="35"/>
  <c r="AB30" i="35"/>
  <c r="AB29" i="35"/>
  <c r="AB37" i="35"/>
  <c r="AB7" i="34"/>
  <c r="Z10" i="34"/>
  <c r="Z11" i="34" s="1"/>
  <c r="Z15" i="34" s="1"/>
  <c r="Z18" i="34" s="1"/>
  <c r="Z19" i="34" s="1"/>
  <c r="Z17" i="34"/>
  <c r="AA9" i="34"/>
  <c r="AA8" i="34"/>
  <c r="X15" i="34"/>
  <c r="X18" i="34" s="1"/>
  <c r="X19" i="34" s="1"/>
  <c r="R31" i="7"/>
  <c r="Q31" i="7"/>
  <c r="T29" i="7"/>
  <c r="U6" i="7"/>
  <c r="S26" i="7"/>
  <c r="AE41" i="36" l="1"/>
  <c r="AD46" i="36"/>
  <c r="AD48" i="36" s="1"/>
  <c r="AD45" i="36"/>
  <c r="W15" i="36"/>
  <c r="V28" i="36"/>
  <c r="V50" i="36" s="1"/>
  <c r="AE6" i="35"/>
  <c r="AE13" i="35" s="1"/>
  <c r="AD28" i="35"/>
  <c r="AD35" i="35"/>
  <c r="AC30" i="35"/>
  <c r="AC37" i="35"/>
  <c r="AC29" i="35"/>
  <c r="AA45" i="35"/>
  <c r="AB43" i="35"/>
  <c r="AB31" i="35"/>
  <c r="AB32" i="35" s="1"/>
  <c r="AB41" i="35" s="1"/>
  <c r="AB44" i="35" s="1"/>
  <c r="AC7" i="34"/>
  <c r="AA10" i="34"/>
  <c r="AA11" i="34" s="1"/>
  <c r="AA15" i="34" s="1"/>
  <c r="AA18" i="34" s="1"/>
  <c r="AA17" i="34"/>
  <c r="AB9" i="34"/>
  <c r="AB8" i="34"/>
  <c r="U13" i="7"/>
  <c r="B6" i="7"/>
  <c r="B12" i="7" s="1"/>
  <c r="T26" i="7"/>
  <c r="AF41" i="36" l="1"/>
  <c r="AE46" i="36"/>
  <c r="AE48" i="36" s="1"/>
  <c r="AE45" i="36"/>
  <c r="X15" i="36"/>
  <c r="W28" i="36"/>
  <c r="W50" i="36" s="1"/>
  <c r="AB45" i="35"/>
  <c r="AF6" i="35"/>
  <c r="AF13" i="35" s="1"/>
  <c r="AE28" i="35"/>
  <c r="AE35" i="35"/>
  <c r="AA19" i="34"/>
  <c r="AC31" i="35"/>
  <c r="AC32" i="35" s="1"/>
  <c r="AC41" i="35" s="1"/>
  <c r="AC44" i="35" s="1"/>
  <c r="AC45" i="35" s="1"/>
  <c r="AC43" i="35"/>
  <c r="AD30" i="35"/>
  <c r="AD37" i="35"/>
  <c r="AD29" i="35"/>
  <c r="AD7" i="34"/>
  <c r="AB17" i="34"/>
  <c r="AB10" i="34"/>
  <c r="AB11" i="34" s="1"/>
  <c r="AC9" i="34"/>
  <c r="AC8" i="34"/>
  <c r="B8" i="7"/>
  <c r="B9" i="7" s="1"/>
  <c r="B11" i="7" s="1"/>
  <c r="B13" i="7"/>
  <c r="V6" i="7"/>
  <c r="U29" i="7"/>
  <c r="B29" i="7" s="1"/>
  <c r="T31" i="7"/>
  <c r="S31" i="7"/>
  <c r="AG41" i="36" l="1"/>
  <c r="AF45" i="36"/>
  <c r="AF46" i="36"/>
  <c r="AF48" i="36" s="1"/>
  <c r="Y15" i="36"/>
  <c r="X28" i="36"/>
  <c r="X50" i="36" s="1"/>
  <c r="B35" i="7"/>
  <c r="B41" i="7" s="1"/>
  <c r="AF35" i="35"/>
  <c r="AG6" i="35"/>
  <c r="C6" i="35" s="1"/>
  <c r="AF28" i="35"/>
  <c r="AE37" i="35"/>
  <c r="AE30" i="35"/>
  <c r="AE29" i="35"/>
  <c r="AD31" i="35"/>
  <c r="AD32" i="35" s="1"/>
  <c r="AD41" i="35" s="1"/>
  <c r="AD44" i="35" s="1"/>
  <c r="AD45" i="35" s="1"/>
  <c r="AD43" i="35"/>
  <c r="AE7" i="34"/>
  <c r="AC17" i="34"/>
  <c r="AC10" i="34"/>
  <c r="AC11" i="34" s="1"/>
  <c r="AC15" i="34" s="1"/>
  <c r="AC18" i="34" s="1"/>
  <c r="AB15" i="34"/>
  <c r="AB18" i="34" s="1"/>
  <c r="AB19" i="34" s="1"/>
  <c r="AD9" i="34"/>
  <c r="AD8" i="34"/>
  <c r="V13" i="7"/>
  <c r="V29" i="7" s="1"/>
  <c r="U26" i="7"/>
  <c r="B26" i="7" s="1"/>
  <c r="AH41" i="36" l="1"/>
  <c r="AG46" i="36"/>
  <c r="AG48" i="36" s="1"/>
  <c r="AG45" i="36"/>
  <c r="Z15" i="36"/>
  <c r="Y28" i="36"/>
  <c r="Y50" i="36" s="1"/>
  <c r="AC19" i="34"/>
  <c r="AE43" i="35"/>
  <c r="AE31" i="35"/>
  <c r="AE32" i="35" s="1"/>
  <c r="AE41" i="35" s="1"/>
  <c r="AE44" i="35" s="1"/>
  <c r="AE45" i="35" s="1"/>
  <c r="AF37" i="35"/>
  <c r="AF29" i="35"/>
  <c r="AF30" i="35"/>
  <c r="C12" i="35"/>
  <c r="C13" i="35" s="1"/>
  <c r="C8" i="35"/>
  <c r="C9" i="35" s="1"/>
  <c r="C11" i="35" s="1"/>
  <c r="C49" i="35" s="1"/>
  <c r="C55" i="35" s="1"/>
  <c r="AG13" i="35"/>
  <c r="W6" i="7"/>
  <c r="W13" i="7" s="1"/>
  <c r="X6" i="7" s="1"/>
  <c r="X13" i="7" s="1"/>
  <c r="X29" i="7" s="1"/>
  <c r="V26" i="7"/>
  <c r="AF7" i="34"/>
  <c r="AD17" i="34"/>
  <c r="AD10" i="34"/>
  <c r="AD11" i="34" s="1"/>
  <c r="AD15" i="34" s="1"/>
  <c r="AD18" i="34" s="1"/>
  <c r="AD19" i="34" s="1"/>
  <c r="AE8" i="34"/>
  <c r="AE9" i="34"/>
  <c r="AI41" i="36" l="1"/>
  <c r="AH46" i="36"/>
  <c r="AH48" i="36" s="1"/>
  <c r="AH45" i="36"/>
  <c r="AA15" i="36"/>
  <c r="Z28" i="36"/>
  <c r="Z50" i="36" s="1"/>
  <c r="Y6" i="7"/>
  <c r="W29" i="7"/>
  <c r="AH6" i="35"/>
  <c r="AG28" i="35"/>
  <c r="AG35" i="35"/>
  <c r="C35" i="35" s="1"/>
  <c r="AF43" i="35"/>
  <c r="AF31" i="35"/>
  <c r="AF32" i="35" s="1"/>
  <c r="AF41" i="35" s="1"/>
  <c r="AF44" i="35" s="1"/>
  <c r="AG7" i="34"/>
  <c r="AF8" i="34"/>
  <c r="AF9" i="34"/>
  <c r="AE17" i="34"/>
  <c r="AE10" i="34"/>
  <c r="AE11" i="34" s="1"/>
  <c r="AE15" i="34" s="1"/>
  <c r="AE18" i="34" s="1"/>
  <c r="W26" i="7"/>
  <c r="Y13" i="7"/>
  <c r="Z6" i="7" s="1"/>
  <c r="X26" i="7"/>
  <c r="AJ41" i="36" l="1"/>
  <c r="AI46" i="36"/>
  <c r="AI48" i="36" s="1"/>
  <c r="AI45" i="36"/>
  <c r="AB15" i="36"/>
  <c r="AA28" i="36"/>
  <c r="AA50" i="36" s="1"/>
  <c r="AE19" i="34"/>
  <c r="AF45" i="35"/>
  <c r="AG37" i="35"/>
  <c r="C37" i="35" s="1"/>
  <c r="AG30" i="35"/>
  <c r="AG29" i="35"/>
  <c r="C28" i="35"/>
  <c r="AH13" i="35"/>
  <c r="U31" i="7"/>
  <c r="AF17" i="34"/>
  <c r="AF10" i="34"/>
  <c r="AF11" i="34" s="1"/>
  <c r="AF15" i="34" s="1"/>
  <c r="AF18" i="34" s="1"/>
  <c r="AG8" i="34"/>
  <c r="AG9" i="34"/>
  <c r="C7" i="34"/>
  <c r="B31" i="7"/>
  <c r="B44" i="7" s="1"/>
  <c r="B49" i="7" s="1"/>
  <c r="C48" i="7" s="1"/>
  <c r="Y26" i="7"/>
  <c r="Y29" i="7"/>
  <c r="W31" i="7"/>
  <c r="X31" i="7"/>
  <c r="Z13" i="7"/>
  <c r="AA6" i="7" s="1"/>
  <c r="AA13" i="7" s="1"/>
  <c r="V31" i="7"/>
  <c r="AK41" i="36" l="1"/>
  <c r="AJ46" i="36"/>
  <c r="AJ48" i="36" s="1"/>
  <c r="AJ45" i="36"/>
  <c r="AC15" i="36"/>
  <c r="AB28" i="36"/>
  <c r="AB50" i="36" s="1"/>
  <c r="AF19" i="34"/>
  <c r="AH35" i="35"/>
  <c r="AH28" i="35"/>
  <c r="AI6" i="35"/>
  <c r="AI13" i="35" s="1"/>
  <c r="AG43" i="35"/>
  <c r="AG31" i="35"/>
  <c r="C31" i="35" s="1"/>
  <c r="C29" i="35"/>
  <c r="C43" i="35" s="1"/>
  <c r="C30" i="35"/>
  <c r="C9" i="34"/>
  <c r="AH7" i="34"/>
  <c r="AG17" i="34"/>
  <c r="AG10" i="34"/>
  <c r="C10" i="34" s="1"/>
  <c r="C8" i="34"/>
  <c r="C17" i="34" s="1"/>
  <c r="Y31" i="7"/>
  <c r="Z29" i="7"/>
  <c r="Z26" i="7"/>
  <c r="AB6" i="7"/>
  <c r="AB13" i="7" s="1"/>
  <c r="AA29" i="7"/>
  <c r="AL41" i="36" l="1"/>
  <c r="AK45" i="36"/>
  <c r="AK46" i="36"/>
  <c r="AK48" i="36" s="1"/>
  <c r="AD15" i="36"/>
  <c r="AC28" i="36"/>
  <c r="AC50" i="36" s="1"/>
  <c r="AG32" i="35"/>
  <c r="AI35" i="35"/>
  <c r="AI28" i="35"/>
  <c r="AJ6" i="35"/>
  <c r="AJ13" i="35"/>
  <c r="AG41" i="35"/>
  <c r="AG44" i="35" s="1"/>
  <c r="AG45" i="35" s="1"/>
  <c r="C32" i="35"/>
  <c r="AH37" i="35"/>
  <c r="AH30" i="35"/>
  <c r="AH29" i="35"/>
  <c r="AI7" i="34"/>
  <c r="AG11" i="34"/>
  <c r="AH8" i="34"/>
  <c r="AH9" i="34"/>
  <c r="AA26" i="7"/>
  <c r="AB29" i="7"/>
  <c r="AC6" i="7"/>
  <c r="AC13" i="7" s="1"/>
  <c r="AM41" i="36" l="1"/>
  <c r="AL46" i="36"/>
  <c r="AL48" i="36" s="1"/>
  <c r="AL45" i="36"/>
  <c r="AE15" i="36"/>
  <c r="AD28" i="36"/>
  <c r="AD50" i="36" s="1"/>
  <c r="C41" i="35"/>
  <c r="C33" i="35"/>
  <c r="AH43" i="35"/>
  <c r="AH31" i="35"/>
  <c r="AI37" i="35"/>
  <c r="AI30" i="35"/>
  <c r="AI29" i="35"/>
  <c r="AJ28" i="35"/>
  <c r="AJ35" i="35"/>
  <c r="AK6" i="35"/>
  <c r="AJ7" i="34"/>
  <c r="AH17" i="34"/>
  <c r="AH10" i="34"/>
  <c r="AI8" i="34"/>
  <c r="AI9" i="34"/>
  <c r="AG15" i="34"/>
  <c r="AG18" i="34" s="1"/>
  <c r="AG19" i="34" s="1"/>
  <c r="C11" i="34"/>
  <c r="AA31" i="7"/>
  <c r="AD6" i="7"/>
  <c r="AD13" i="7" s="1"/>
  <c r="AC29" i="7"/>
  <c r="AB26" i="7"/>
  <c r="AN41" i="36" l="1"/>
  <c r="AM45" i="36"/>
  <c r="AM46" i="36"/>
  <c r="AM48" i="36" s="1"/>
  <c r="AF15" i="36"/>
  <c r="AE28" i="36"/>
  <c r="AE50" i="36" s="1"/>
  <c r="AJ29" i="35"/>
  <c r="AJ37" i="35"/>
  <c r="AJ30" i="35"/>
  <c r="AI31" i="35"/>
  <c r="AI32" i="35" s="1"/>
  <c r="AI41" i="35" s="1"/>
  <c r="AI44" i="35" s="1"/>
  <c r="AI45" i="35" s="1"/>
  <c r="AI43" i="35"/>
  <c r="AH32" i="35"/>
  <c r="AK13" i="35"/>
  <c r="C58" i="35"/>
  <c r="C63" i="35" s="1"/>
  <c r="D62" i="35" s="1"/>
  <c r="C44" i="35"/>
  <c r="C45" i="35" s="1"/>
  <c r="AI10" i="34"/>
  <c r="AI11" i="34" s="1"/>
  <c r="AI15" i="34" s="1"/>
  <c r="AI18" i="34" s="1"/>
  <c r="AI17" i="34"/>
  <c r="AH11" i="34"/>
  <c r="AJ8" i="34"/>
  <c r="AJ9" i="34"/>
  <c r="C15" i="34"/>
  <c r="C12" i="34"/>
  <c r="AB31" i="7"/>
  <c r="Z31" i="7"/>
  <c r="AC26" i="7"/>
  <c r="AE6" i="7"/>
  <c r="AE13" i="7" s="1"/>
  <c r="AD29" i="7"/>
  <c r="AO41" i="36" l="1"/>
  <c r="AN46" i="36"/>
  <c r="AN48" i="36" s="1"/>
  <c r="AN45" i="36"/>
  <c r="AG15" i="36"/>
  <c r="AF28" i="36"/>
  <c r="AF50" i="36" s="1"/>
  <c r="AI19" i="34"/>
  <c r="AH41" i="35"/>
  <c r="AH44" i="35" s="1"/>
  <c r="AH45" i="35" s="1"/>
  <c r="AJ43" i="35"/>
  <c r="AJ31" i="35"/>
  <c r="AJ32" i="35" s="1"/>
  <c r="AJ41" i="35" s="1"/>
  <c r="AJ44" i="35" s="1"/>
  <c r="AJ45" i="35" s="1"/>
  <c r="AK35" i="35"/>
  <c r="AK28" i="35"/>
  <c r="AL6" i="35"/>
  <c r="AL13" i="35" s="1"/>
  <c r="AJ10" i="34"/>
  <c r="AJ11" i="34" s="1"/>
  <c r="AJ15" i="34" s="1"/>
  <c r="AJ18" i="34" s="1"/>
  <c r="AJ19" i="34" s="1"/>
  <c r="AJ17" i="34"/>
  <c r="AK7" i="34"/>
  <c r="AH15" i="34"/>
  <c r="AH18" i="34" s="1"/>
  <c r="AH19" i="34" s="1"/>
  <c r="C18" i="34"/>
  <c r="C19" i="34" s="1"/>
  <c r="AC31" i="7"/>
  <c r="AF6" i="7"/>
  <c r="AF13" i="7" s="1"/>
  <c r="AE29" i="7"/>
  <c r="AD26" i="7"/>
  <c r="AP41" i="36" l="1"/>
  <c r="AO46" i="36"/>
  <c r="AO48" i="36" s="1"/>
  <c r="AO45" i="36"/>
  <c r="AH15" i="36"/>
  <c r="AG28" i="36"/>
  <c r="AG50" i="36" s="1"/>
  <c r="AL35" i="35"/>
  <c r="AL28" i="35"/>
  <c r="AM13" i="35"/>
  <c r="AM6" i="35"/>
  <c r="AK37" i="35"/>
  <c r="AK30" i="35"/>
  <c r="AK29" i="35"/>
  <c r="AL7" i="34"/>
  <c r="AK8" i="34"/>
  <c r="AK9" i="34"/>
  <c r="AD31" i="7"/>
  <c r="AE26" i="7"/>
  <c r="AG6" i="7"/>
  <c r="C6" i="7" s="1"/>
  <c r="AF29" i="7"/>
  <c r="AQ41" i="36" l="1"/>
  <c r="AP45" i="36"/>
  <c r="AP46" i="36"/>
  <c r="AP48" i="36" s="1"/>
  <c r="AI15" i="36"/>
  <c r="AH28" i="36"/>
  <c r="AH50" i="36" s="1"/>
  <c r="AK43" i="35"/>
  <c r="AK31" i="35"/>
  <c r="AK32" i="35" s="1"/>
  <c r="AM28" i="35"/>
  <c r="AN6" i="35"/>
  <c r="AN13" i="35" s="1"/>
  <c r="AM35" i="35"/>
  <c r="AL29" i="35"/>
  <c r="AL37" i="35"/>
  <c r="AL30" i="35"/>
  <c r="AM7" i="34"/>
  <c r="AK10" i="34"/>
  <c r="AK11" i="34" s="1"/>
  <c r="AK17" i="34"/>
  <c r="AL8" i="34"/>
  <c r="AL9" i="34"/>
  <c r="C8" i="7"/>
  <c r="C9" i="7" s="1"/>
  <c r="C11" i="7" s="1"/>
  <c r="C12" i="7"/>
  <c r="C13" i="7" s="1"/>
  <c r="AE31" i="7"/>
  <c r="AG13" i="7"/>
  <c r="AG29" i="7" s="1"/>
  <c r="C29" i="7" s="1"/>
  <c r="AF26" i="7"/>
  <c r="AR41" i="36" l="1"/>
  <c r="AQ46" i="36"/>
  <c r="AQ48" i="36" s="1"/>
  <c r="AQ45" i="36"/>
  <c r="AJ15" i="36"/>
  <c r="AI28" i="36"/>
  <c r="AI50" i="36" s="1"/>
  <c r="C35" i="7"/>
  <c r="C41" i="7" s="1"/>
  <c r="AN28" i="35"/>
  <c r="AN35" i="35"/>
  <c r="AO6" i="35"/>
  <c r="AO13" i="35"/>
  <c r="AK41" i="35"/>
  <c r="AK44" i="35" s="1"/>
  <c r="AK45" i="35" s="1"/>
  <c r="AL31" i="35"/>
  <c r="AL32" i="35" s="1"/>
  <c r="AL43" i="35"/>
  <c r="AM37" i="35"/>
  <c r="AM30" i="35"/>
  <c r="AM29" i="35"/>
  <c r="AK15" i="34"/>
  <c r="AK18" i="34" s="1"/>
  <c r="AK19" i="34" s="1"/>
  <c r="AN7" i="34"/>
  <c r="AL17" i="34"/>
  <c r="AL10" i="34"/>
  <c r="AL11" i="34" s="1"/>
  <c r="AM8" i="34"/>
  <c r="AM9" i="34"/>
  <c r="AH6" i="7"/>
  <c r="AH13" i="7" s="1"/>
  <c r="AF31" i="7"/>
  <c r="AG26" i="7"/>
  <c r="C26" i="7" s="1"/>
  <c r="AS41" i="36" l="1"/>
  <c r="AR45" i="36"/>
  <c r="AR46" i="36"/>
  <c r="AR48" i="36" s="1"/>
  <c r="AK15" i="36"/>
  <c r="AJ28" i="36"/>
  <c r="AJ50" i="36" s="1"/>
  <c r="AL41" i="35"/>
  <c r="AL44" i="35" s="1"/>
  <c r="AL45" i="35" s="1"/>
  <c r="AP6" i="35"/>
  <c r="AP13" i="35" s="1"/>
  <c r="AO35" i="35"/>
  <c r="AO28" i="35"/>
  <c r="AM43" i="35"/>
  <c r="AM31" i="35"/>
  <c r="AM32" i="35" s="1"/>
  <c r="AM41" i="35" s="1"/>
  <c r="AM44" i="35" s="1"/>
  <c r="AM45" i="35" s="1"/>
  <c r="AN30" i="35"/>
  <c r="AN29" i="35"/>
  <c r="AN37" i="35"/>
  <c r="AL15" i="34"/>
  <c r="AL18" i="34" s="1"/>
  <c r="AL19" i="34" s="1"/>
  <c r="AO7" i="34"/>
  <c r="AM17" i="34"/>
  <c r="AM10" i="34"/>
  <c r="AM11" i="34" s="1"/>
  <c r="AN9" i="34"/>
  <c r="AN8" i="34"/>
  <c r="AI6" i="7"/>
  <c r="AI13" i="7" s="1"/>
  <c r="AJ6" i="7" s="1"/>
  <c r="AJ13" i="7" s="1"/>
  <c r="AH29" i="7"/>
  <c r="AH26" i="7"/>
  <c r="AT41" i="36" l="1"/>
  <c r="AS45" i="36"/>
  <c r="AS46" i="36"/>
  <c r="AS48" i="36" s="1"/>
  <c r="AL15" i="36"/>
  <c r="AK28" i="36"/>
  <c r="AK50" i="36" s="1"/>
  <c r="AQ6" i="35"/>
  <c r="AQ13" i="35" s="1"/>
  <c r="AP35" i="35"/>
  <c r="AP28" i="35"/>
  <c r="AN43" i="35"/>
  <c r="AN31" i="35"/>
  <c r="AN32" i="35" s="1"/>
  <c r="AN41" i="35" s="1"/>
  <c r="AN44" i="35" s="1"/>
  <c r="AO30" i="35"/>
  <c r="AO37" i="35"/>
  <c r="AO29" i="35"/>
  <c r="AM15" i="34"/>
  <c r="AM18" i="34" s="1"/>
  <c r="AM19" i="34" s="1"/>
  <c r="AN11" i="34"/>
  <c r="AN15" i="34" s="1"/>
  <c r="AN18" i="34" s="1"/>
  <c r="AP7" i="34"/>
  <c r="AO9" i="34"/>
  <c r="AO8" i="34"/>
  <c r="AN17" i="34"/>
  <c r="AN10" i="34"/>
  <c r="AI26" i="7"/>
  <c r="AI29" i="7"/>
  <c r="AG31" i="7"/>
  <c r="AK6" i="7"/>
  <c r="AK13" i="7" s="1"/>
  <c r="AJ29" i="7"/>
  <c r="AU41" i="36" l="1"/>
  <c r="AT45" i="36"/>
  <c r="AT46" i="36"/>
  <c r="AT48" i="36" s="1"/>
  <c r="AM15" i="36"/>
  <c r="AL28" i="36"/>
  <c r="AL50" i="36" s="1"/>
  <c r="AN45" i="35"/>
  <c r="AR6" i="35"/>
  <c r="AR13" i="35" s="1"/>
  <c r="AQ35" i="35"/>
  <c r="AQ28" i="35"/>
  <c r="AO43" i="35"/>
  <c r="AO31" i="35"/>
  <c r="AO32" i="35" s="1"/>
  <c r="AO41" i="35" s="1"/>
  <c r="AO44" i="35" s="1"/>
  <c r="AP30" i="35"/>
  <c r="AP37" i="35"/>
  <c r="AP29" i="35"/>
  <c r="AO17" i="34"/>
  <c r="AO10" i="34"/>
  <c r="AO11" i="34" s="1"/>
  <c r="AO15" i="34" s="1"/>
  <c r="AO18" i="34" s="1"/>
  <c r="AN19" i="34"/>
  <c r="AQ7" i="34"/>
  <c r="AP9" i="34"/>
  <c r="AP8" i="34"/>
  <c r="AI31" i="7"/>
  <c r="AH31" i="7"/>
  <c r="AJ26" i="7"/>
  <c r="AL6" i="7"/>
  <c r="AK29" i="7"/>
  <c r="AV41" i="36" l="1"/>
  <c r="AU45" i="36"/>
  <c r="AU46" i="36"/>
  <c r="AU48" i="36" s="1"/>
  <c r="AN15" i="36"/>
  <c r="AM28" i="36"/>
  <c r="AM50" i="36" s="1"/>
  <c r="AO19" i="34"/>
  <c r="AO45" i="35"/>
  <c r="AS6" i="35"/>
  <c r="D6" i="35" s="1"/>
  <c r="AR35" i="35"/>
  <c r="AR28" i="35"/>
  <c r="AP31" i="35"/>
  <c r="AP32" i="35" s="1"/>
  <c r="AP41" i="35" s="1"/>
  <c r="AP44" i="35" s="1"/>
  <c r="AP43" i="35"/>
  <c r="AQ37" i="35"/>
  <c r="AQ30" i="35"/>
  <c r="AQ29" i="35"/>
  <c r="AR7" i="34"/>
  <c r="AQ9" i="34"/>
  <c r="AQ8" i="34"/>
  <c r="AP17" i="34"/>
  <c r="AP10" i="34"/>
  <c r="AP11" i="34" s="1"/>
  <c r="AP15" i="34" s="1"/>
  <c r="AP18" i="34" s="1"/>
  <c r="AP19" i="34" s="1"/>
  <c r="C31" i="7"/>
  <c r="AJ31" i="7"/>
  <c r="AL13" i="7"/>
  <c r="AM6" i="7" s="1"/>
  <c r="AK26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K1" i="7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AW41" i="36" l="1"/>
  <c r="AV45" i="36"/>
  <c r="AV46" i="36"/>
  <c r="AV48" i="36" s="1"/>
  <c r="AO15" i="36"/>
  <c r="AN28" i="36"/>
  <c r="AN50" i="36" s="1"/>
  <c r="AQ43" i="35"/>
  <c r="AQ31" i="35"/>
  <c r="AQ32" i="35" s="1"/>
  <c r="AQ41" i="35" s="1"/>
  <c r="AQ44" i="35" s="1"/>
  <c r="AQ45" i="35" s="1"/>
  <c r="AP45" i="35"/>
  <c r="AR30" i="35"/>
  <c r="AR29" i="35"/>
  <c r="AR37" i="35"/>
  <c r="D8" i="35"/>
  <c r="D9" i="35" s="1"/>
  <c r="D11" i="35" s="1"/>
  <c r="D49" i="35" s="1"/>
  <c r="D55" i="35" s="1"/>
  <c r="D12" i="35"/>
  <c r="AS13" i="35"/>
  <c r="AQ17" i="34"/>
  <c r="AQ10" i="34"/>
  <c r="AQ11" i="34" s="1"/>
  <c r="AQ15" i="34" s="1"/>
  <c r="AQ18" i="34" s="1"/>
  <c r="AR9" i="34"/>
  <c r="AR8" i="34"/>
  <c r="C44" i="7"/>
  <c r="C49" i="7" s="1"/>
  <c r="D48" i="7" s="1"/>
  <c r="AK31" i="7"/>
  <c r="AM13" i="7"/>
  <c r="AL29" i="7"/>
  <c r="AX41" i="36" l="1"/>
  <c r="AW46" i="36"/>
  <c r="AW48" i="36" s="1"/>
  <c r="AW45" i="36"/>
  <c r="AP15" i="36"/>
  <c r="AO28" i="36"/>
  <c r="AO50" i="36" s="1"/>
  <c r="AT6" i="35"/>
  <c r="AS35" i="35"/>
  <c r="D35" i="35" s="1"/>
  <c r="D13" i="35"/>
  <c r="AS28" i="35"/>
  <c r="AR43" i="35"/>
  <c r="AR31" i="35"/>
  <c r="AR32" i="35" s="1"/>
  <c r="AR41" i="35" s="1"/>
  <c r="AR44" i="35" s="1"/>
  <c r="AQ19" i="34"/>
  <c r="AR17" i="34"/>
  <c r="AR10" i="34"/>
  <c r="AR11" i="34" s="1"/>
  <c r="AR15" i="34" s="1"/>
  <c r="AR18" i="34" s="1"/>
  <c r="AS7" i="34"/>
  <c r="AM29" i="7"/>
  <c r="AL26" i="7"/>
  <c r="AN6" i="7"/>
  <c r="AN13" i="7" s="1"/>
  <c r="AM26" i="7"/>
  <c r="AY41" i="36" l="1"/>
  <c r="AX45" i="36"/>
  <c r="AX46" i="36"/>
  <c r="AX48" i="36" s="1"/>
  <c r="AQ15" i="36"/>
  <c r="AP28" i="36"/>
  <c r="AP50" i="36" s="1"/>
  <c r="AR45" i="35"/>
  <c r="AR19" i="34"/>
  <c r="AS37" i="35"/>
  <c r="D37" i="35" s="1"/>
  <c r="AS30" i="35"/>
  <c r="AS29" i="35"/>
  <c r="D28" i="35"/>
  <c r="AT13" i="35"/>
  <c r="AL31" i="7"/>
  <c r="AT7" i="34"/>
  <c r="AS9" i="34"/>
  <c r="AS8" i="34"/>
  <c r="D7" i="34"/>
  <c r="AO6" i="7"/>
  <c r="AO13" i="7" s="1"/>
  <c r="AN29" i="7"/>
  <c r="AN26" i="7"/>
  <c r="AZ41" i="36" l="1"/>
  <c r="AY45" i="36"/>
  <c r="AY46" i="36"/>
  <c r="AY48" i="36" s="1"/>
  <c r="AR15" i="36"/>
  <c r="AQ28" i="36"/>
  <c r="AQ50" i="36" s="1"/>
  <c r="D30" i="35"/>
  <c r="AT35" i="35"/>
  <c r="AT28" i="35"/>
  <c r="AU6" i="35"/>
  <c r="AU13" i="35" s="1"/>
  <c r="AS43" i="35"/>
  <c r="AS31" i="35"/>
  <c r="D31" i="35" s="1"/>
  <c r="D29" i="35"/>
  <c r="D43" i="35" s="1"/>
  <c r="AU7" i="34"/>
  <c r="AT8" i="34"/>
  <c r="AT9" i="34"/>
  <c r="AS17" i="34"/>
  <c r="AS10" i="34"/>
  <c r="D10" i="34" s="1"/>
  <c r="D8" i="34"/>
  <c r="D17" i="34" s="1"/>
  <c r="D9" i="34"/>
  <c r="AP6" i="7"/>
  <c r="AP13" i="7" s="1"/>
  <c r="AP29" i="7" s="1"/>
  <c r="AO29" i="7"/>
  <c r="AN31" i="7"/>
  <c r="AM31" i="7"/>
  <c r="AO26" i="7"/>
  <c r="BA41" i="36" l="1"/>
  <c r="AZ45" i="36"/>
  <c r="AZ46" i="36"/>
  <c r="AZ48" i="36" s="1"/>
  <c r="AS15" i="36"/>
  <c r="AR28" i="36"/>
  <c r="AR50" i="36" s="1"/>
  <c r="AT37" i="35"/>
  <c r="AT30" i="35"/>
  <c r="AT29" i="35"/>
  <c r="AU35" i="35"/>
  <c r="AU28" i="35"/>
  <c r="AV6" i="35"/>
  <c r="AV13" i="35" s="1"/>
  <c r="AS32" i="35"/>
  <c r="AQ6" i="7"/>
  <c r="AQ13" i="7" s="1"/>
  <c r="AR6" i="7" s="1"/>
  <c r="AR13" i="7" s="1"/>
  <c r="AT17" i="34"/>
  <c r="AT10" i="34"/>
  <c r="AT11" i="34" s="1"/>
  <c r="AS11" i="34"/>
  <c r="AU8" i="34"/>
  <c r="AU9" i="34"/>
  <c r="AV7" i="34"/>
  <c r="AO31" i="7"/>
  <c r="AP26" i="7"/>
  <c r="BB41" i="36" l="1"/>
  <c r="BA46" i="36"/>
  <c r="BA48" i="36" s="1"/>
  <c r="BA45" i="36"/>
  <c r="AT15" i="36"/>
  <c r="AS28" i="36"/>
  <c r="AS50" i="36" s="1"/>
  <c r="AQ29" i="7"/>
  <c r="AS41" i="35"/>
  <c r="AS44" i="35" s="1"/>
  <c r="AS45" i="35" s="1"/>
  <c r="D32" i="35"/>
  <c r="AT43" i="35"/>
  <c r="AT31" i="35"/>
  <c r="AV35" i="35"/>
  <c r="AV28" i="35"/>
  <c r="AW6" i="35"/>
  <c r="AW13" i="35" s="1"/>
  <c r="AU37" i="35"/>
  <c r="AU30" i="35"/>
  <c r="AU29" i="35"/>
  <c r="AW7" i="34"/>
  <c r="AU10" i="34"/>
  <c r="AU17" i="34"/>
  <c r="AS15" i="34"/>
  <c r="AS18" i="34" s="1"/>
  <c r="AS19" i="34" s="1"/>
  <c r="D11" i="34"/>
  <c r="AT15" i="34"/>
  <c r="AT18" i="34" s="1"/>
  <c r="AT19" i="34" s="1"/>
  <c r="AV8" i="34"/>
  <c r="AV9" i="34"/>
  <c r="AP31" i="7"/>
  <c r="AS6" i="7"/>
  <c r="AR29" i="7"/>
  <c r="AQ26" i="7"/>
  <c r="BC41" i="36" l="1"/>
  <c r="BB45" i="36"/>
  <c r="BB46" i="36"/>
  <c r="BB48" i="36" s="1"/>
  <c r="AU15" i="36"/>
  <c r="AT28" i="36"/>
  <c r="AT50" i="36" s="1"/>
  <c r="AW35" i="35"/>
  <c r="AW28" i="35"/>
  <c r="AX6" i="35"/>
  <c r="AX13" i="35" s="1"/>
  <c r="AV29" i="35"/>
  <c r="AV37" i="35"/>
  <c r="AV30" i="35"/>
  <c r="D41" i="35"/>
  <c r="D33" i="35"/>
  <c r="AU31" i="35"/>
  <c r="AU32" i="35" s="1"/>
  <c r="AU41" i="35" s="1"/>
  <c r="AU44" i="35" s="1"/>
  <c r="AU43" i="35"/>
  <c r="AT32" i="35"/>
  <c r="AU11" i="34"/>
  <c r="AW8" i="34"/>
  <c r="AW9" i="34"/>
  <c r="D15" i="34"/>
  <c r="D12" i="34"/>
  <c r="AV17" i="34"/>
  <c r="AV10" i="34"/>
  <c r="AV11" i="34" s="1"/>
  <c r="AV15" i="34" s="1"/>
  <c r="AV18" i="34" s="1"/>
  <c r="AQ31" i="7"/>
  <c r="AS13" i="7"/>
  <c r="D6" i="7"/>
  <c r="AR26" i="7"/>
  <c r="BD41" i="36" l="1"/>
  <c r="BC45" i="36"/>
  <c r="BC46" i="36"/>
  <c r="BC48" i="36" s="1"/>
  <c r="AV15" i="36"/>
  <c r="AU28" i="36"/>
  <c r="AU50" i="36" s="1"/>
  <c r="AU45" i="35"/>
  <c r="AV19" i="34"/>
  <c r="AX35" i="35"/>
  <c r="AX28" i="35"/>
  <c r="AY6" i="35"/>
  <c r="AY13" i="35" s="1"/>
  <c r="D58" i="35"/>
  <c r="D63" i="35" s="1"/>
  <c r="E62" i="35" s="1"/>
  <c r="D44" i="35"/>
  <c r="D45" i="35" s="1"/>
  <c r="AV31" i="35"/>
  <c r="AV32" i="35" s="1"/>
  <c r="AV43" i="35"/>
  <c r="AW37" i="35"/>
  <c r="AW30" i="35"/>
  <c r="AW29" i="35"/>
  <c r="AT41" i="35"/>
  <c r="AT44" i="35" s="1"/>
  <c r="AT45" i="35" s="1"/>
  <c r="D18" i="34"/>
  <c r="D19" i="34" s="1"/>
  <c r="AU15" i="34"/>
  <c r="AU18" i="34" s="1"/>
  <c r="AU19" i="34" s="1"/>
  <c r="AX7" i="34"/>
  <c r="AW17" i="34"/>
  <c r="AW10" i="34"/>
  <c r="AW11" i="34" s="1"/>
  <c r="AW15" i="34" s="1"/>
  <c r="AW18" i="34" s="1"/>
  <c r="AW19" i="34" s="1"/>
  <c r="D12" i="7"/>
  <c r="D13" i="7" s="1"/>
  <c r="D8" i="7"/>
  <c r="D9" i="7" s="1"/>
  <c r="D11" i="7" s="1"/>
  <c r="D35" i="7" s="1"/>
  <c r="D41" i="7" s="1"/>
  <c r="AT6" i="7"/>
  <c r="AT13" i="7" s="1"/>
  <c r="AU6" i="7" s="1"/>
  <c r="AS29" i="7"/>
  <c r="D29" i="7" s="1"/>
  <c r="AR31" i="7"/>
  <c r="BE41" i="36" l="1"/>
  <c r="BD46" i="36"/>
  <c r="BD48" i="36" s="1"/>
  <c r="BD45" i="36"/>
  <c r="AW15" i="36"/>
  <c r="AV28" i="36"/>
  <c r="AV50" i="36" s="1"/>
  <c r="AV41" i="35"/>
  <c r="AV44" i="35" s="1"/>
  <c r="AV45" i="35" s="1"/>
  <c r="AY35" i="35"/>
  <c r="AY28" i="35"/>
  <c r="AZ6" i="35"/>
  <c r="AZ13" i="35" s="1"/>
  <c r="AX37" i="35"/>
  <c r="AX29" i="35"/>
  <c r="AX30" i="35"/>
  <c r="AW43" i="35"/>
  <c r="AW31" i="35"/>
  <c r="AW32" i="35" s="1"/>
  <c r="AW41" i="35" s="1"/>
  <c r="AW44" i="35" s="1"/>
  <c r="AW45" i="35" s="1"/>
  <c r="AY7" i="34"/>
  <c r="AX8" i="34"/>
  <c r="AX9" i="34"/>
  <c r="AT29" i="7"/>
  <c r="AT26" i="7"/>
  <c r="AS26" i="7"/>
  <c r="D26" i="7" s="1"/>
  <c r="AU13" i="7"/>
  <c r="BF41" i="36" l="1"/>
  <c r="BE45" i="36"/>
  <c r="BE46" i="36"/>
  <c r="BE48" i="36" s="1"/>
  <c r="AX15" i="36"/>
  <c r="AW28" i="36"/>
  <c r="AW50" i="36" s="1"/>
  <c r="AZ28" i="35"/>
  <c r="AZ35" i="35"/>
  <c r="BA6" i="35"/>
  <c r="BA13" i="35" s="1"/>
  <c r="AX43" i="35"/>
  <c r="AX31" i="35"/>
  <c r="AX32" i="35" s="1"/>
  <c r="AX41" i="35" s="1"/>
  <c r="AX44" i="35" s="1"/>
  <c r="AY29" i="35"/>
  <c r="AY37" i="35"/>
  <c r="AY30" i="35"/>
  <c r="AZ7" i="34"/>
  <c r="AY8" i="34"/>
  <c r="AY9" i="34"/>
  <c r="AX17" i="34"/>
  <c r="AX10" i="34"/>
  <c r="AX11" i="34" s="1"/>
  <c r="AV6" i="7"/>
  <c r="AU29" i="7"/>
  <c r="AU26" i="7"/>
  <c r="BG41" i="36" l="1"/>
  <c r="BF45" i="36"/>
  <c r="BF46" i="36"/>
  <c r="BF48" i="36" s="1"/>
  <c r="AY15" i="36"/>
  <c r="AX28" i="36"/>
  <c r="AX50" i="36" s="1"/>
  <c r="AX45" i="35"/>
  <c r="BA28" i="35"/>
  <c r="BB6" i="35"/>
  <c r="BB13" i="35" s="1"/>
  <c r="BA35" i="35"/>
  <c r="AY43" i="35"/>
  <c r="AY31" i="35"/>
  <c r="AY32" i="35" s="1"/>
  <c r="AY41" i="35" s="1"/>
  <c r="AY44" i="35" s="1"/>
  <c r="AZ37" i="35"/>
  <c r="AZ30" i="35"/>
  <c r="AZ29" i="35"/>
  <c r="AY17" i="34"/>
  <c r="AY10" i="34"/>
  <c r="AY11" i="34" s="1"/>
  <c r="AZ9" i="34"/>
  <c r="AZ8" i="34"/>
  <c r="BA7" i="34"/>
  <c r="AX15" i="34"/>
  <c r="AX18" i="34" s="1"/>
  <c r="AX19" i="34" s="1"/>
  <c r="AS31" i="7"/>
  <c r="AV13" i="7"/>
  <c r="AU31" i="7"/>
  <c r="AT31" i="7"/>
  <c r="BH41" i="36" l="1"/>
  <c r="BG46" i="36"/>
  <c r="BG48" i="36" s="1"/>
  <c r="BG45" i="36"/>
  <c r="AZ15" i="36"/>
  <c r="AY28" i="36"/>
  <c r="AY50" i="36" s="1"/>
  <c r="BC6" i="35"/>
  <c r="BC13" i="35" s="1"/>
  <c r="BB35" i="35"/>
  <c r="BB28" i="35"/>
  <c r="AY45" i="35"/>
  <c r="AZ43" i="35"/>
  <c r="AZ31" i="35"/>
  <c r="AZ32" i="35" s="1"/>
  <c r="AZ41" i="35" s="1"/>
  <c r="AZ44" i="35" s="1"/>
  <c r="BA30" i="35"/>
  <c r="BA37" i="35"/>
  <c r="BA29" i="35"/>
  <c r="AY15" i="34"/>
  <c r="AY18" i="34" s="1"/>
  <c r="AY19" i="34" s="1"/>
  <c r="BA9" i="34"/>
  <c r="BA8" i="34"/>
  <c r="AZ17" i="34"/>
  <c r="AZ10" i="34"/>
  <c r="AZ11" i="34" s="1"/>
  <c r="AZ15" i="34" s="1"/>
  <c r="AZ18" i="34" s="1"/>
  <c r="AZ19" i="34" s="1"/>
  <c r="BB7" i="34"/>
  <c r="D31" i="7"/>
  <c r="AW6" i="7"/>
  <c r="AV29" i="7"/>
  <c r="BI41" i="36" l="1"/>
  <c r="BH45" i="36"/>
  <c r="BH46" i="36"/>
  <c r="BH48" i="36" s="1"/>
  <c r="BA15" i="36"/>
  <c r="AZ28" i="36"/>
  <c r="AZ50" i="36" s="1"/>
  <c r="AZ45" i="35"/>
  <c r="BD6" i="35"/>
  <c r="BD13" i="35" s="1"/>
  <c r="BC28" i="35"/>
  <c r="BC35" i="35"/>
  <c r="BB30" i="35"/>
  <c r="BB37" i="35"/>
  <c r="BB29" i="35"/>
  <c r="BA31" i="35"/>
  <c r="BA32" i="35" s="1"/>
  <c r="BA41" i="35" s="1"/>
  <c r="BA44" i="35" s="1"/>
  <c r="BA43" i="35"/>
  <c r="BC7" i="34"/>
  <c r="BA17" i="34"/>
  <c r="BA10" i="34"/>
  <c r="BA11" i="34" s="1"/>
  <c r="BA15" i="34" s="1"/>
  <c r="BA18" i="34" s="1"/>
  <c r="BB9" i="34"/>
  <c r="BB8" i="34"/>
  <c r="D44" i="7"/>
  <c r="D49" i="7" s="1"/>
  <c r="E48" i="7" s="1"/>
  <c r="AV26" i="7"/>
  <c r="AW13" i="7"/>
  <c r="BJ41" i="36" l="1"/>
  <c r="BI45" i="36"/>
  <c r="BI46" i="36"/>
  <c r="BI48" i="36" s="1"/>
  <c r="BB15" i="36"/>
  <c r="BA28" i="36"/>
  <c r="BA50" i="36" s="1"/>
  <c r="BA45" i="35"/>
  <c r="BA19" i="34"/>
  <c r="BE6" i="35"/>
  <c r="E6" i="35" s="1"/>
  <c r="BD35" i="35"/>
  <c r="BD28" i="35"/>
  <c r="BB43" i="35"/>
  <c r="BB31" i="35"/>
  <c r="BB32" i="35" s="1"/>
  <c r="BB41" i="35" s="1"/>
  <c r="BB44" i="35" s="1"/>
  <c r="BB45" i="35" s="1"/>
  <c r="BC37" i="35"/>
  <c r="BC30" i="35"/>
  <c r="BC29" i="35"/>
  <c r="BD7" i="34"/>
  <c r="BB17" i="34"/>
  <c r="BB10" i="34"/>
  <c r="BB11" i="34" s="1"/>
  <c r="BB15" i="34" s="1"/>
  <c r="BB18" i="34" s="1"/>
  <c r="BC8" i="34"/>
  <c r="BC9" i="34"/>
  <c r="AW29" i="7"/>
  <c r="AX6" i="7"/>
  <c r="BK41" i="36" l="1"/>
  <c r="BJ46" i="36"/>
  <c r="BJ48" i="36" s="1"/>
  <c r="BJ45" i="36"/>
  <c r="BC15" i="36"/>
  <c r="BB28" i="36"/>
  <c r="BB50" i="36" s="1"/>
  <c r="BB19" i="34"/>
  <c r="BC43" i="35"/>
  <c r="BC31" i="35"/>
  <c r="BC32" i="35" s="1"/>
  <c r="BC41" i="35" s="1"/>
  <c r="BC44" i="35" s="1"/>
  <c r="BC45" i="35" s="1"/>
  <c r="BD37" i="35"/>
  <c r="BD30" i="35"/>
  <c r="BD29" i="35"/>
  <c r="E8" i="35"/>
  <c r="E9" i="35" s="1"/>
  <c r="E11" i="35" s="1"/>
  <c r="E49" i="35" s="1"/>
  <c r="E12" i="35"/>
  <c r="BE13" i="35"/>
  <c r="BC17" i="34"/>
  <c r="BC10" i="34"/>
  <c r="BC11" i="34" s="1"/>
  <c r="BC15" i="34" s="1"/>
  <c r="BC18" i="34" s="1"/>
  <c r="BD9" i="34"/>
  <c r="BD8" i="34"/>
  <c r="BE7" i="34"/>
  <c r="AW26" i="7"/>
  <c r="AX13" i="7"/>
  <c r="BL41" i="36" l="1"/>
  <c r="BK46" i="36"/>
  <c r="BK48" i="36" s="1"/>
  <c r="BK45" i="36"/>
  <c r="BD15" i="36"/>
  <c r="BC28" i="36"/>
  <c r="BC50" i="36" s="1"/>
  <c r="BC19" i="34"/>
  <c r="BD43" i="35"/>
  <c r="BD31" i="35"/>
  <c r="BF6" i="35"/>
  <c r="BF13" i="35" s="1"/>
  <c r="E13" i="35"/>
  <c r="BE35" i="35"/>
  <c r="E35" i="35" s="1"/>
  <c r="BE28" i="35"/>
  <c r="BD32" i="35"/>
  <c r="BD41" i="35" s="1"/>
  <c r="BD44" i="35" s="1"/>
  <c r="BD45" i="35" s="1"/>
  <c r="BF7" i="34"/>
  <c r="BE9" i="34"/>
  <c r="BE8" i="34"/>
  <c r="E7" i="34"/>
  <c r="BD17" i="34"/>
  <c r="BD10" i="34"/>
  <c r="BD11" i="34" s="1"/>
  <c r="BD15" i="34" s="1"/>
  <c r="BD18" i="34" s="1"/>
  <c r="AV31" i="7"/>
  <c r="AW31" i="7"/>
  <c r="AX29" i="7"/>
  <c r="AY6" i="7"/>
  <c r="BM41" i="36" l="1"/>
  <c r="BL45" i="36"/>
  <c r="BL46" i="36"/>
  <c r="BL48" i="36" s="1"/>
  <c r="BE15" i="36"/>
  <c r="BD28" i="36"/>
  <c r="BD50" i="36" s="1"/>
  <c r="BD19" i="34"/>
  <c r="BF35" i="35"/>
  <c r="BF28" i="35"/>
  <c r="BG6" i="35"/>
  <c r="BG13" i="35" s="1"/>
  <c r="BE30" i="35"/>
  <c r="BE37" i="35"/>
  <c r="E37" i="35" s="1"/>
  <c r="BE29" i="35"/>
  <c r="E28" i="35"/>
  <c r="BE17" i="34"/>
  <c r="BE10" i="34"/>
  <c r="E10" i="34" s="1"/>
  <c r="E8" i="34"/>
  <c r="E17" i="34" s="1"/>
  <c r="E9" i="34"/>
  <c r="BF9" i="34"/>
  <c r="BF8" i="34"/>
  <c r="AY13" i="7"/>
  <c r="AX26" i="7"/>
  <c r="BN41" i="36" l="1"/>
  <c r="BM45" i="36"/>
  <c r="BM46" i="36"/>
  <c r="BM48" i="36" s="1"/>
  <c r="BF15" i="36"/>
  <c r="BE28" i="36"/>
  <c r="BE50" i="36" s="1"/>
  <c r="BG35" i="35"/>
  <c r="BG28" i="35"/>
  <c r="BH6" i="35"/>
  <c r="BH13" i="35" s="1"/>
  <c r="BE43" i="35"/>
  <c r="BE31" i="35"/>
  <c r="E31" i="35" s="1"/>
  <c r="E29" i="35"/>
  <c r="E43" i="35" s="1"/>
  <c r="E30" i="35"/>
  <c r="BF37" i="35"/>
  <c r="BF29" i="35"/>
  <c r="BF30" i="35"/>
  <c r="BE11" i="34"/>
  <c r="BE15" i="34" s="1"/>
  <c r="BE18" i="34" s="1"/>
  <c r="BE19" i="34" s="1"/>
  <c r="BF17" i="34"/>
  <c r="BF10" i="34"/>
  <c r="BF11" i="34" s="1"/>
  <c r="BG7" i="34"/>
  <c r="E11" i="34"/>
  <c r="AZ6" i="7"/>
  <c r="AY29" i="7"/>
  <c r="BO41" i="36" l="1"/>
  <c r="BN45" i="36"/>
  <c r="BN46" i="36"/>
  <c r="BN48" i="36" s="1"/>
  <c r="BG15" i="36"/>
  <c r="BF28" i="36"/>
  <c r="BF50" i="36" s="1"/>
  <c r="BF43" i="35"/>
  <c r="BF31" i="35"/>
  <c r="BH35" i="35"/>
  <c r="BH28" i="35"/>
  <c r="BI6" i="35"/>
  <c r="BI13" i="35" s="1"/>
  <c r="BG37" i="35"/>
  <c r="BG29" i="35"/>
  <c r="BG30" i="35"/>
  <c r="BF32" i="35"/>
  <c r="BE32" i="35"/>
  <c r="BF15" i="34"/>
  <c r="BF18" i="34" s="1"/>
  <c r="BF19" i="34" s="1"/>
  <c r="E12" i="34"/>
  <c r="E15" i="34"/>
  <c r="BG8" i="34"/>
  <c r="BG9" i="34"/>
  <c r="AZ13" i="7"/>
  <c r="AY26" i="7"/>
  <c r="BP41" i="36" l="1"/>
  <c r="BO46" i="36"/>
  <c r="BO48" i="36" s="1"/>
  <c r="BO45" i="36"/>
  <c r="BH15" i="36"/>
  <c r="BG28" i="36"/>
  <c r="BG50" i="36" s="1"/>
  <c r="BI35" i="35"/>
  <c r="BI28" i="35"/>
  <c r="BJ6" i="35"/>
  <c r="BJ13" i="35" s="1"/>
  <c r="BH29" i="35"/>
  <c r="BH37" i="35"/>
  <c r="BH30" i="35"/>
  <c r="BE41" i="35"/>
  <c r="BE44" i="35" s="1"/>
  <c r="BE45" i="35" s="1"/>
  <c r="E32" i="35"/>
  <c r="BG31" i="35"/>
  <c r="BG32" i="35" s="1"/>
  <c r="BG43" i="35"/>
  <c r="BF41" i="35"/>
  <c r="BF44" i="35" s="1"/>
  <c r="BF45" i="35" s="1"/>
  <c r="BG10" i="34"/>
  <c r="BG17" i="34"/>
  <c r="BH7" i="34"/>
  <c r="E18" i="34"/>
  <c r="E19" i="34" s="1"/>
  <c r="AX31" i="7"/>
  <c r="AZ29" i="7"/>
  <c r="BA6" i="7"/>
  <c r="BQ41" i="36" l="1"/>
  <c r="BP46" i="36"/>
  <c r="BP48" i="36" s="1"/>
  <c r="BP45" i="36"/>
  <c r="BI15" i="36"/>
  <c r="BH28" i="36"/>
  <c r="BH50" i="36" s="1"/>
  <c r="BG41" i="35"/>
  <c r="BG44" i="35" s="1"/>
  <c r="BG45" i="35" s="1"/>
  <c r="BJ35" i="35"/>
  <c r="BJ28" i="35"/>
  <c r="BK6" i="35"/>
  <c r="BK13" i="35" s="1"/>
  <c r="BI30" i="35"/>
  <c r="BI29" i="35"/>
  <c r="BI37" i="35"/>
  <c r="BH43" i="35"/>
  <c r="BH31" i="35"/>
  <c r="BH32" i="35" s="1"/>
  <c r="E41" i="35"/>
  <c r="E33" i="35"/>
  <c r="BI7" i="34"/>
  <c r="BH8" i="34"/>
  <c r="BH9" i="34"/>
  <c r="BG11" i="34"/>
  <c r="BA13" i="7"/>
  <c r="AZ26" i="7"/>
  <c r="BR41" i="36" l="1"/>
  <c r="BQ45" i="36"/>
  <c r="BQ46" i="36"/>
  <c r="BQ48" i="36" s="1"/>
  <c r="BJ15" i="36"/>
  <c r="BI28" i="36"/>
  <c r="BI50" i="36" s="1"/>
  <c r="BH41" i="35"/>
  <c r="BH44" i="35" s="1"/>
  <c r="BH45" i="35" s="1"/>
  <c r="BK28" i="35"/>
  <c r="BK35" i="35"/>
  <c r="BL6" i="35"/>
  <c r="BL13" i="35" s="1"/>
  <c r="BJ37" i="35"/>
  <c r="BJ30" i="35"/>
  <c r="BJ29" i="35"/>
  <c r="BI43" i="35"/>
  <c r="BI31" i="35"/>
  <c r="BI32" i="35" s="1"/>
  <c r="BI41" i="35" s="1"/>
  <c r="BI44" i="35" s="1"/>
  <c r="BI45" i="35" s="1"/>
  <c r="E53" i="35"/>
  <c r="E55" i="35" s="1"/>
  <c r="E58" i="35" s="1"/>
  <c r="E63" i="35" s="1"/>
  <c r="F62" i="35" s="1"/>
  <c r="E44" i="35"/>
  <c r="E45" i="35" s="1"/>
  <c r="BJ7" i="34"/>
  <c r="BG15" i="34"/>
  <c r="BG18" i="34" s="1"/>
  <c r="BG19" i="34" s="1"/>
  <c r="BI8" i="34"/>
  <c r="BI9" i="34"/>
  <c r="BH10" i="34"/>
  <c r="BH17" i="34"/>
  <c r="AY31" i="7"/>
  <c r="AZ31" i="7"/>
  <c r="BB6" i="7"/>
  <c r="BA29" i="7"/>
  <c r="BS41" i="36" l="1"/>
  <c r="BR45" i="36"/>
  <c r="BR46" i="36"/>
  <c r="BR48" i="36" s="1"/>
  <c r="BK15" i="36"/>
  <c r="BJ28" i="36"/>
  <c r="BJ50" i="36" s="1"/>
  <c r="BL35" i="35"/>
  <c r="BL28" i="35"/>
  <c r="BM6" i="35"/>
  <c r="BM13" i="35" s="1"/>
  <c r="BK37" i="35"/>
  <c r="BK30" i="35"/>
  <c r="BK29" i="35"/>
  <c r="BJ31" i="35"/>
  <c r="BJ32" i="35" s="1"/>
  <c r="BJ43" i="35"/>
  <c r="BK7" i="34"/>
  <c r="BI10" i="34"/>
  <c r="BI11" i="34" s="1"/>
  <c r="BI15" i="34" s="1"/>
  <c r="BI18" i="34" s="1"/>
  <c r="BI17" i="34"/>
  <c r="BH11" i="34"/>
  <c r="BJ8" i="34"/>
  <c r="BJ9" i="34"/>
  <c r="BB13" i="7"/>
  <c r="BA26" i="7"/>
  <c r="BT41" i="36" l="1"/>
  <c r="BS45" i="36"/>
  <c r="BS46" i="36"/>
  <c r="BS48" i="36" s="1"/>
  <c r="BL15" i="36"/>
  <c r="BK28" i="36"/>
  <c r="BK50" i="36" s="1"/>
  <c r="BJ41" i="35"/>
  <c r="BJ44" i="35" s="1"/>
  <c r="BJ45" i="35" s="1"/>
  <c r="BM35" i="35"/>
  <c r="BM28" i="35"/>
  <c r="BN6" i="35"/>
  <c r="BN13" i="35" s="1"/>
  <c r="BI19" i="34"/>
  <c r="BK31" i="35"/>
  <c r="BK32" i="35" s="1"/>
  <c r="BK41" i="35" s="1"/>
  <c r="BK44" i="35" s="1"/>
  <c r="BK43" i="35"/>
  <c r="BL29" i="35"/>
  <c r="BL37" i="35"/>
  <c r="BL30" i="35"/>
  <c r="BL7" i="34"/>
  <c r="BH15" i="34"/>
  <c r="BH18" i="34" s="1"/>
  <c r="BH19" i="34" s="1"/>
  <c r="BK8" i="34"/>
  <c r="BK9" i="34"/>
  <c r="BJ10" i="34"/>
  <c r="BJ11" i="34" s="1"/>
  <c r="BJ17" i="34"/>
  <c r="BC6" i="7"/>
  <c r="BB29" i="7"/>
  <c r="BU41" i="36" l="1"/>
  <c r="BT46" i="36"/>
  <c r="BT48" i="36" s="1"/>
  <c r="BT45" i="36"/>
  <c r="BM15" i="36"/>
  <c r="BL28" i="36"/>
  <c r="BL50" i="36" s="1"/>
  <c r="BK45" i="35"/>
  <c r="BN28" i="35"/>
  <c r="BN35" i="35"/>
  <c r="BO6" i="35"/>
  <c r="BO13" i="35" s="1"/>
  <c r="BM30" i="35"/>
  <c r="BM37" i="35"/>
  <c r="BM29" i="35"/>
  <c r="BL43" i="35"/>
  <c r="BL31" i="35"/>
  <c r="BL32" i="35" s="1"/>
  <c r="BL41" i="35" s="1"/>
  <c r="BL44" i="35" s="1"/>
  <c r="BJ15" i="34"/>
  <c r="BJ18" i="34" s="1"/>
  <c r="BJ19" i="34" s="1"/>
  <c r="BM7" i="34"/>
  <c r="BK17" i="34"/>
  <c r="BK10" i="34"/>
  <c r="BK11" i="34" s="1"/>
  <c r="BL9" i="34"/>
  <c r="BL8" i="34"/>
  <c r="BB26" i="7"/>
  <c r="BC13" i="7"/>
  <c r="BA31" i="7"/>
  <c r="BV41" i="36" l="1"/>
  <c r="BU45" i="36"/>
  <c r="BU46" i="36"/>
  <c r="BU48" i="36" s="1"/>
  <c r="BN15" i="36"/>
  <c r="BM28" i="36"/>
  <c r="BM50" i="36" s="1"/>
  <c r="BL45" i="35"/>
  <c r="BO28" i="35"/>
  <c r="BO35" i="35"/>
  <c r="BP6" i="35"/>
  <c r="BP13" i="35" s="1"/>
  <c r="BM43" i="35"/>
  <c r="BM31" i="35"/>
  <c r="BM32" i="35" s="1"/>
  <c r="BM41" i="35" s="1"/>
  <c r="BM44" i="35" s="1"/>
  <c r="BN30" i="35"/>
  <c r="BN37" i="35"/>
  <c r="BN29" i="35"/>
  <c r="BK15" i="34"/>
  <c r="BK18" i="34" s="1"/>
  <c r="BK19" i="34" s="1"/>
  <c r="BN7" i="34"/>
  <c r="BM9" i="34"/>
  <c r="BM8" i="34"/>
  <c r="BL17" i="34"/>
  <c r="BL10" i="34"/>
  <c r="BL11" i="34" s="1"/>
  <c r="BL15" i="34" s="1"/>
  <c r="BL18" i="34" s="1"/>
  <c r="BL19" i="34" s="1"/>
  <c r="BD6" i="7"/>
  <c r="BC29" i="7"/>
  <c r="BW41" i="36" l="1"/>
  <c r="BV45" i="36"/>
  <c r="BV46" i="36"/>
  <c r="BV48" i="36" s="1"/>
  <c r="BO15" i="36"/>
  <c r="BN28" i="36"/>
  <c r="BN50" i="36" s="1"/>
  <c r="BM45" i="35"/>
  <c r="BP35" i="35"/>
  <c r="BQ6" i="35"/>
  <c r="F6" i="35" s="1"/>
  <c r="BP28" i="35"/>
  <c r="BN31" i="35"/>
  <c r="BN32" i="35" s="1"/>
  <c r="BN41" i="35" s="1"/>
  <c r="BN44" i="35" s="1"/>
  <c r="BN43" i="35"/>
  <c r="BO37" i="35"/>
  <c r="BO29" i="35"/>
  <c r="BO30" i="35"/>
  <c r="BO7" i="34"/>
  <c r="BN9" i="34"/>
  <c r="BN8" i="34"/>
  <c r="BM17" i="34"/>
  <c r="BM10" i="34"/>
  <c r="BM11" i="34" s="1"/>
  <c r="BM15" i="34" s="1"/>
  <c r="BM18" i="34" s="1"/>
  <c r="BC26" i="7"/>
  <c r="BD13" i="7"/>
  <c r="BB31" i="7"/>
  <c r="BX41" i="36" l="1"/>
  <c r="BW45" i="36"/>
  <c r="BW46" i="36"/>
  <c r="BW48" i="36" s="1"/>
  <c r="BP15" i="36"/>
  <c r="BO28" i="36"/>
  <c r="BO50" i="36" s="1"/>
  <c r="BM19" i="34"/>
  <c r="BN45" i="35"/>
  <c r="BO43" i="35"/>
  <c r="BO31" i="35"/>
  <c r="BO32" i="35" s="1"/>
  <c r="BO41" i="35" s="1"/>
  <c r="BO44" i="35" s="1"/>
  <c r="BO45" i="35" s="1"/>
  <c r="F8" i="35"/>
  <c r="F9" i="35" s="1"/>
  <c r="F11" i="35" s="1"/>
  <c r="F49" i="35" s="1"/>
  <c r="F12" i="35"/>
  <c r="BQ13" i="35"/>
  <c r="BP37" i="35"/>
  <c r="BP29" i="35"/>
  <c r="BP30" i="35"/>
  <c r="BP7" i="34"/>
  <c r="BN17" i="34"/>
  <c r="BN10" i="34"/>
  <c r="BN11" i="34" s="1"/>
  <c r="BN15" i="34" s="1"/>
  <c r="BN18" i="34" s="1"/>
  <c r="BO8" i="34"/>
  <c r="BO9" i="34"/>
  <c r="BE6" i="7"/>
  <c r="E6" i="7" s="1"/>
  <c r="BD29" i="7"/>
  <c r="BY41" i="36" l="1"/>
  <c r="BX46" i="36"/>
  <c r="BX48" i="36" s="1"/>
  <c r="BX45" i="36"/>
  <c r="BQ15" i="36"/>
  <c r="BP28" i="36"/>
  <c r="BP50" i="36" s="1"/>
  <c r="BN19" i="34"/>
  <c r="BP43" i="35"/>
  <c r="BP31" i="35"/>
  <c r="BP32" i="35" s="1"/>
  <c r="BP41" i="35" s="1"/>
  <c r="BP44" i="35" s="1"/>
  <c r="BP45" i="35" s="1"/>
  <c r="BR6" i="35"/>
  <c r="BR13" i="35" s="1"/>
  <c r="F13" i="35"/>
  <c r="BQ28" i="35"/>
  <c r="BQ35" i="35"/>
  <c r="F35" i="35" s="1"/>
  <c r="BO17" i="34"/>
  <c r="BO10" i="34"/>
  <c r="BO11" i="34" s="1"/>
  <c r="BO15" i="34" s="1"/>
  <c r="BO18" i="34" s="1"/>
  <c r="BQ7" i="34"/>
  <c r="BP8" i="34"/>
  <c r="BP9" i="34"/>
  <c r="E12" i="7"/>
  <c r="E8" i="7"/>
  <c r="E9" i="7" s="1"/>
  <c r="E11" i="7" s="1"/>
  <c r="E35" i="7" s="1"/>
  <c r="BE13" i="7"/>
  <c r="BC31" i="7"/>
  <c r="BD26" i="7"/>
  <c r="BZ41" i="36" l="1"/>
  <c r="BY45" i="36"/>
  <c r="BY46" i="36"/>
  <c r="BY48" i="36" s="1"/>
  <c r="BR15" i="36"/>
  <c r="BQ28" i="36"/>
  <c r="BQ50" i="36" s="1"/>
  <c r="BO19" i="34"/>
  <c r="BR35" i="35"/>
  <c r="BR28" i="35"/>
  <c r="BS6" i="35"/>
  <c r="BS13" i="35" s="1"/>
  <c r="BQ29" i="35"/>
  <c r="BQ30" i="35"/>
  <c r="BQ37" i="35"/>
  <c r="F37" i="35" s="1"/>
  <c r="F28" i="35"/>
  <c r="BP17" i="34"/>
  <c r="BP10" i="34"/>
  <c r="BP11" i="34" s="1"/>
  <c r="BP15" i="34" s="1"/>
  <c r="BP18" i="34" s="1"/>
  <c r="BP19" i="34" s="1"/>
  <c r="BQ8" i="34"/>
  <c r="BQ9" i="34"/>
  <c r="F7" i="34"/>
  <c r="BE29" i="7"/>
  <c r="E29" i="7" s="1"/>
  <c r="E13" i="7"/>
  <c r="BF6" i="7"/>
  <c r="BF13" i="7" s="1"/>
  <c r="CA41" i="36" l="1"/>
  <c r="BZ46" i="36"/>
  <c r="BZ48" i="36" s="1"/>
  <c r="BZ45" i="36"/>
  <c r="BS15" i="36"/>
  <c r="BR28" i="36"/>
  <c r="BR50" i="36" s="1"/>
  <c r="BS28" i="35"/>
  <c r="BS35" i="35"/>
  <c r="BT6" i="35"/>
  <c r="BQ43" i="35"/>
  <c r="BQ31" i="35"/>
  <c r="F31" i="35" s="1"/>
  <c r="F29" i="35"/>
  <c r="F43" i="35" s="1"/>
  <c r="F30" i="35"/>
  <c r="BR29" i="35"/>
  <c r="BR30" i="35"/>
  <c r="BR37" i="35"/>
  <c r="F9" i="34"/>
  <c r="BR7" i="34"/>
  <c r="BQ17" i="34"/>
  <c r="BQ10" i="34"/>
  <c r="F10" i="34" s="1"/>
  <c r="F8" i="34"/>
  <c r="F17" i="34" s="1"/>
  <c r="BE26" i="7"/>
  <c r="E26" i="7" s="1"/>
  <c r="BF29" i="7"/>
  <c r="BG6" i="7"/>
  <c r="BG13" i="7" s="1"/>
  <c r="BD31" i="7"/>
  <c r="BF26" i="7"/>
  <c r="CB41" i="36" l="1"/>
  <c r="CA45" i="36"/>
  <c r="CA46" i="36"/>
  <c r="CA48" i="36" s="1"/>
  <c r="BT15" i="36"/>
  <c r="BS28" i="36"/>
  <c r="BS50" i="36" s="1"/>
  <c r="BR43" i="35"/>
  <c r="BR31" i="35"/>
  <c r="BR32" i="35" s="1"/>
  <c r="BQ32" i="35"/>
  <c r="BT13" i="35"/>
  <c r="BS30" i="35"/>
  <c r="BS37" i="35"/>
  <c r="BS29" i="35"/>
  <c r="BS7" i="34"/>
  <c r="BR8" i="34"/>
  <c r="BR9" i="34"/>
  <c r="BQ11" i="34"/>
  <c r="BH6" i="7"/>
  <c r="BG29" i="7"/>
  <c r="CC41" i="36" l="1"/>
  <c r="CB46" i="36"/>
  <c r="CB48" i="36" s="1"/>
  <c r="CB45" i="36"/>
  <c r="BU15" i="36"/>
  <c r="BT28" i="36"/>
  <c r="BT50" i="36" s="1"/>
  <c r="BR41" i="35"/>
  <c r="BR44" i="35" s="1"/>
  <c r="BR45" i="35" s="1"/>
  <c r="BT28" i="35"/>
  <c r="BT35" i="35"/>
  <c r="BU6" i="35"/>
  <c r="BU13" i="35" s="1"/>
  <c r="BQ41" i="35"/>
  <c r="BQ44" i="35" s="1"/>
  <c r="BQ45" i="35" s="1"/>
  <c r="F32" i="35"/>
  <c r="BS31" i="35"/>
  <c r="BS32" i="35" s="1"/>
  <c r="BS41" i="35" s="1"/>
  <c r="BS44" i="35" s="1"/>
  <c r="BS43" i="35"/>
  <c r="BF31" i="7"/>
  <c r="BR17" i="34"/>
  <c r="BR10" i="34"/>
  <c r="BR11" i="34" s="1"/>
  <c r="BS8" i="34"/>
  <c r="BS9" i="34"/>
  <c r="BT7" i="34"/>
  <c r="BQ15" i="34"/>
  <c r="BQ18" i="34" s="1"/>
  <c r="BQ19" i="34" s="1"/>
  <c r="F11" i="34"/>
  <c r="BH13" i="7"/>
  <c r="BE31" i="7"/>
  <c r="BG26" i="7"/>
  <c r="CD41" i="36" l="1"/>
  <c r="CC46" i="36"/>
  <c r="CC48" i="36" s="1"/>
  <c r="CC45" i="36"/>
  <c r="BV15" i="36"/>
  <c r="BU28" i="36"/>
  <c r="BU50" i="36" s="1"/>
  <c r="BS45" i="35"/>
  <c r="F41" i="35"/>
  <c r="F33" i="35"/>
  <c r="BT29" i="35"/>
  <c r="BT30" i="35"/>
  <c r="BT37" i="35"/>
  <c r="BU35" i="35"/>
  <c r="BU28" i="35"/>
  <c r="BV6" i="35"/>
  <c r="BV13" i="35" s="1"/>
  <c r="BR15" i="34"/>
  <c r="BR18" i="34" s="1"/>
  <c r="BR19" i="34" s="1"/>
  <c r="BT8" i="34"/>
  <c r="BT9" i="34"/>
  <c r="BS10" i="34"/>
  <c r="BS11" i="34" s="1"/>
  <c r="BS15" i="34" s="1"/>
  <c r="BS18" i="34" s="1"/>
  <c r="BS17" i="34"/>
  <c r="F12" i="34"/>
  <c r="F15" i="34"/>
  <c r="E31" i="7"/>
  <c r="E39" i="7" s="1"/>
  <c r="E41" i="7" s="1"/>
  <c r="BI6" i="7"/>
  <c r="BH29" i="7"/>
  <c r="CE41" i="36" l="1"/>
  <c r="CD45" i="36"/>
  <c r="CD46" i="36"/>
  <c r="CD48" i="36" s="1"/>
  <c r="BW15" i="36"/>
  <c r="BV28" i="36"/>
  <c r="BV50" i="36" s="1"/>
  <c r="BS19" i="34"/>
  <c r="BV35" i="35"/>
  <c r="BV28" i="35"/>
  <c r="BW6" i="35"/>
  <c r="BW13" i="35" s="1"/>
  <c r="BT43" i="35"/>
  <c r="BT31" i="35"/>
  <c r="BU37" i="35"/>
  <c r="BU29" i="35"/>
  <c r="BU30" i="35"/>
  <c r="F53" i="35"/>
  <c r="F55" i="35" s="1"/>
  <c r="F58" i="35" s="1"/>
  <c r="F63" i="35" s="1"/>
  <c r="G62" i="35" s="1"/>
  <c r="F44" i="35"/>
  <c r="F45" i="35" s="1"/>
  <c r="BU7" i="34"/>
  <c r="F18" i="34"/>
  <c r="F19" i="34" s="1"/>
  <c r="BT10" i="34"/>
  <c r="BT11" i="34" s="1"/>
  <c r="BT15" i="34" s="1"/>
  <c r="BT18" i="34" s="1"/>
  <c r="BT17" i="34"/>
  <c r="E44" i="7"/>
  <c r="BI13" i="7"/>
  <c r="BH26" i="7"/>
  <c r="CF41" i="36" l="1"/>
  <c r="CE46" i="36"/>
  <c r="CE48" i="36" s="1"/>
  <c r="CE45" i="36"/>
  <c r="BX15" i="36"/>
  <c r="BW28" i="36"/>
  <c r="BW50" i="36" s="1"/>
  <c r="BT19" i="34"/>
  <c r="BW28" i="35"/>
  <c r="BX6" i="35"/>
  <c r="BX13" i="35" s="1"/>
  <c r="BW35" i="35"/>
  <c r="BU31" i="35"/>
  <c r="BU32" i="35" s="1"/>
  <c r="BU41" i="35" s="1"/>
  <c r="BU44" i="35" s="1"/>
  <c r="BU43" i="35"/>
  <c r="BV37" i="35"/>
  <c r="BV29" i="35"/>
  <c r="BV30" i="35"/>
  <c r="BT32" i="35"/>
  <c r="BU8" i="34"/>
  <c r="BU9" i="34"/>
  <c r="BV7" i="34"/>
  <c r="E49" i="7"/>
  <c r="F48" i="7" s="1"/>
  <c r="BG31" i="7"/>
  <c r="BI29" i="7"/>
  <c r="BJ6" i="7"/>
  <c r="CG41" i="36" l="1"/>
  <c r="CF45" i="36"/>
  <c r="CF46" i="36"/>
  <c r="CF48" i="36" s="1"/>
  <c r="BY15" i="36"/>
  <c r="BX28" i="36"/>
  <c r="BX50" i="36" s="1"/>
  <c r="BU45" i="35"/>
  <c r="BX28" i="35"/>
  <c r="BX35" i="35"/>
  <c r="BY6" i="35"/>
  <c r="BY13" i="35" s="1"/>
  <c r="BV31" i="35"/>
  <c r="BV43" i="35"/>
  <c r="BW29" i="35"/>
  <c r="BW30" i="35"/>
  <c r="BW37" i="35"/>
  <c r="BT41" i="35"/>
  <c r="BT44" i="35" s="1"/>
  <c r="BT45" i="35" s="1"/>
  <c r="BW7" i="34"/>
  <c r="BV9" i="34"/>
  <c r="BV8" i="34"/>
  <c r="BU10" i="34"/>
  <c r="BU17" i="34"/>
  <c r="BI26" i="7"/>
  <c r="BJ13" i="7"/>
  <c r="CG46" i="36" l="1"/>
  <c r="CG48" i="36" s="1"/>
  <c r="CG45" i="36"/>
  <c r="BZ15" i="36"/>
  <c r="BY28" i="36"/>
  <c r="BY50" i="36" s="1"/>
  <c r="BY28" i="35"/>
  <c r="BZ6" i="35"/>
  <c r="BZ13" i="35" s="1"/>
  <c r="BY35" i="35"/>
  <c r="BW31" i="35"/>
  <c r="BW32" i="35" s="1"/>
  <c r="BW41" i="35" s="1"/>
  <c r="BW44" i="35" s="1"/>
  <c r="BW43" i="35"/>
  <c r="BV32" i="35"/>
  <c r="BX30" i="35"/>
  <c r="BX37" i="35"/>
  <c r="BX29" i="35"/>
  <c r="BX7" i="34"/>
  <c r="BU11" i="34"/>
  <c r="BV17" i="34"/>
  <c r="BV10" i="34"/>
  <c r="BV11" i="34" s="1"/>
  <c r="BV15" i="34" s="1"/>
  <c r="BV18" i="34" s="1"/>
  <c r="BW9" i="34"/>
  <c r="BW8" i="34"/>
  <c r="BH31" i="7"/>
  <c r="BJ29" i="7"/>
  <c r="BK6" i="7"/>
  <c r="BI31" i="7"/>
  <c r="CA15" i="36" l="1"/>
  <c r="BZ28" i="36"/>
  <c r="BZ50" i="36" s="1"/>
  <c r="BW45" i="35"/>
  <c r="BV19" i="34"/>
  <c r="BZ35" i="35"/>
  <c r="BZ28" i="35"/>
  <c r="CA6" i="35"/>
  <c r="CA13" i="35" s="1"/>
  <c r="BV41" i="35"/>
  <c r="BV44" i="35" s="1"/>
  <c r="BV45" i="35" s="1"/>
  <c r="BX43" i="35"/>
  <c r="BX31" i="35"/>
  <c r="BX32" i="35" s="1"/>
  <c r="BY30" i="35"/>
  <c r="BY29" i="35"/>
  <c r="BY37" i="35"/>
  <c r="BY7" i="34"/>
  <c r="BX9" i="34"/>
  <c r="BX8" i="34"/>
  <c r="BW17" i="34"/>
  <c r="BW10" i="34"/>
  <c r="BW11" i="34" s="1"/>
  <c r="BU15" i="34"/>
  <c r="BU18" i="34" s="1"/>
  <c r="BU19" i="34" s="1"/>
  <c r="BJ26" i="7"/>
  <c r="BK13" i="7"/>
  <c r="CB15" i="36" l="1"/>
  <c r="CA28" i="36"/>
  <c r="CA50" i="36" s="1"/>
  <c r="BX41" i="35"/>
  <c r="BX44" i="35" s="1"/>
  <c r="BX45" i="35" s="1"/>
  <c r="CA28" i="35"/>
  <c r="CA35" i="35"/>
  <c r="CB6" i="35"/>
  <c r="CB13" i="35" s="1"/>
  <c r="BZ30" i="35"/>
  <c r="BZ37" i="35"/>
  <c r="BZ29" i="35"/>
  <c r="BY31" i="35"/>
  <c r="BY32" i="35" s="1"/>
  <c r="BY41" i="35" s="1"/>
  <c r="BY44" i="35" s="1"/>
  <c r="BY43" i="35"/>
  <c r="BZ7" i="34"/>
  <c r="BW15" i="34"/>
  <c r="BW18" i="34" s="1"/>
  <c r="BW19" i="34" s="1"/>
  <c r="BY9" i="34"/>
  <c r="BY8" i="34"/>
  <c r="BX17" i="34"/>
  <c r="BX10" i="34"/>
  <c r="BX11" i="34" s="1"/>
  <c r="BX15" i="34" s="1"/>
  <c r="BX18" i="34" s="1"/>
  <c r="BK29" i="7"/>
  <c r="BL6" i="7"/>
  <c r="CC15" i="36" l="1"/>
  <c r="CB28" i="36"/>
  <c r="CB50" i="36" s="1"/>
  <c r="BY45" i="35"/>
  <c r="BX19" i="34"/>
  <c r="CB28" i="35"/>
  <c r="CC6" i="35"/>
  <c r="G6" i="35" s="1"/>
  <c r="CB35" i="35"/>
  <c r="BZ31" i="35"/>
  <c r="BZ43" i="35"/>
  <c r="BZ32" i="35"/>
  <c r="BZ41" i="35" s="1"/>
  <c r="BZ44" i="35" s="1"/>
  <c r="BZ45" i="35" s="1"/>
  <c r="CA37" i="35"/>
  <c r="CA29" i="35"/>
  <c r="CA30" i="35"/>
  <c r="BY17" i="34"/>
  <c r="BY10" i="34"/>
  <c r="BY11" i="34" s="1"/>
  <c r="BY15" i="34" s="1"/>
  <c r="BY18" i="34" s="1"/>
  <c r="CA7" i="34"/>
  <c r="BZ9" i="34"/>
  <c r="BZ8" i="34"/>
  <c r="BJ31" i="7"/>
  <c r="BL13" i="7"/>
  <c r="BK26" i="7"/>
  <c r="CD15" i="36" l="1"/>
  <c r="CC28" i="36"/>
  <c r="CC50" i="36" s="1"/>
  <c r="BY19" i="34"/>
  <c r="CA43" i="35"/>
  <c r="CA31" i="35"/>
  <c r="CA32" i="35" s="1"/>
  <c r="CA41" i="35" s="1"/>
  <c r="CA44" i="35" s="1"/>
  <c r="CA45" i="35" s="1"/>
  <c r="CC13" i="35"/>
  <c r="G8" i="35"/>
  <c r="G9" i="35" s="1"/>
  <c r="G11" i="35" s="1"/>
  <c r="G49" i="35" s="1"/>
  <c r="G12" i="35"/>
  <c r="CB37" i="35"/>
  <c r="CB29" i="35"/>
  <c r="CB30" i="35"/>
  <c r="CB7" i="34"/>
  <c r="BZ17" i="34"/>
  <c r="BZ10" i="34"/>
  <c r="BZ11" i="34" s="1"/>
  <c r="BZ15" i="34" s="1"/>
  <c r="BZ18" i="34" s="1"/>
  <c r="CA8" i="34"/>
  <c r="CA9" i="34"/>
  <c r="BM6" i="7"/>
  <c r="BM13" i="7" s="1"/>
  <c r="BL29" i="7"/>
  <c r="CE15" i="36" l="1"/>
  <c r="CD28" i="36"/>
  <c r="CD50" i="36" s="1"/>
  <c r="BZ19" i="34"/>
  <c r="CB31" i="35"/>
  <c r="CB32" i="35" s="1"/>
  <c r="CB41" i="35" s="1"/>
  <c r="CB44" i="35" s="1"/>
  <c r="CB43" i="35"/>
  <c r="CC28" i="35"/>
  <c r="CD6" i="35"/>
  <c r="CD13" i="35" s="1"/>
  <c r="G13" i="35"/>
  <c r="CC35" i="35"/>
  <c r="G35" i="35" s="1"/>
  <c r="CA17" i="34"/>
  <c r="CA10" i="34"/>
  <c r="CA11" i="34" s="1"/>
  <c r="CA15" i="34" s="1"/>
  <c r="CA18" i="34" s="1"/>
  <c r="CB8" i="34"/>
  <c r="CB9" i="34"/>
  <c r="BL26" i="7"/>
  <c r="BN6" i="7"/>
  <c r="BN13" i="7" s="1"/>
  <c r="BM29" i="7"/>
  <c r="CF15" i="36" l="1"/>
  <c r="CE28" i="36"/>
  <c r="CE50" i="36" s="1"/>
  <c r="CA19" i="34"/>
  <c r="CB45" i="35"/>
  <c r="CD35" i="35"/>
  <c r="CD28" i="35"/>
  <c r="CE6" i="35"/>
  <c r="CE13" i="35" s="1"/>
  <c r="CC37" i="35"/>
  <c r="G37" i="35" s="1"/>
  <c r="CC29" i="35"/>
  <c r="CC30" i="35"/>
  <c r="G28" i="35"/>
  <c r="CB17" i="34"/>
  <c r="CB10" i="34"/>
  <c r="CB11" i="34" s="1"/>
  <c r="CB15" i="34" s="1"/>
  <c r="CB18" i="34" s="1"/>
  <c r="CB19" i="34" s="1"/>
  <c r="CC7" i="34"/>
  <c r="BM26" i="7"/>
  <c r="BK31" i="7"/>
  <c r="BN29" i="7"/>
  <c r="BO6" i="7"/>
  <c r="BO13" i="7" s="1"/>
  <c r="CG15" i="36" l="1"/>
  <c r="CF28" i="36"/>
  <c r="CF50" i="36" s="1"/>
  <c r="G30" i="35"/>
  <c r="CC43" i="35"/>
  <c r="CC31" i="35"/>
  <c r="G31" i="35" s="1"/>
  <c r="G29" i="35"/>
  <c r="G43" i="35" s="1"/>
  <c r="CE35" i="35"/>
  <c r="CE28" i="35"/>
  <c r="CF6" i="35"/>
  <c r="CD37" i="35"/>
  <c r="CD29" i="35"/>
  <c r="CD30" i="35"/>
  <c r="CD7" i="34"/>
  <c r="CC8" i="34"/>
  <c r="CC9" i="34"/>
  <c r="G7" i="34"/>
  <c r="BP6" i="7"/>
  <c r="BP13" i="7" s="1"/>
  <c r="BO29" i="7"/>
  <c r="BM31" i="7"/>
  <c r="BN26" i="7"/>
  <c r="CG28" i="36" l="1"/>
  <c r="CG50" i="36" s="1"/>
  <c r="CD43" i="35"/>
  <c r="CD31" i="35"/>
  <c r="CF13" i="35"/>
  <c r="CE37" i="35"/>
  <c r="CE29" i="35"/>
  <c r="CE30" i="35"/>
  <c r="CD32" i="35"/>
  <c r="CC32" i="35"/>
  <c r="CE7" i="34"/>
  <c r="G9" i="34"/>
  <c r="CC17" i="34"/>
  <c r="CC10" i="34"/>
  <c r="G10" i="34" s="1"/>
  <c r="G8" i="34"/>
  <c r="G17" i="34" s="1"/>
  <c r="CD8" i="34"/>
  <c r="CD9" i="34"/>
  <c r="BN31" i="7"/>
  <c r="BQ6" i="7"/>
  <c r="F6" i="7" s="1"/>
  <c r="BP29" i="7"/>
  <c r="BL31" i="7"/>
  <c r="BO26" i="7"/>
  <c r="CD41" i="35" l="1"/>
  <c r="CD44" i="35" s="1"/>
  <c r="CD45" i="35" s="1"/>
  <c r="CE31" i="35"/>
  <c r="CE43" i="35"/>
  <c r="CF35" i="35"/>
  <c r="CF28" i="35"/>
  <c r="CG6" i="35"/>
  <c r="CG13" i="35" s="1"/>
  <c r="CC41" i="35"/>
  <c r="CC44" i="35" s="1"/>
  <c r="CC45" i="35" s="1"/>
  <c r="G32" i="35"/>
  <c r="CC11" i="34"/>
  <c r="CD17" i="34"/>
  <c r="CD10" i="34"/>
  <c r="CD11" i="34" s="1"/>
  <c r="CE8" i="34"/>
  <c r="CE9" i="34"/>
  <c r="F12" i="7"/>
  <c r="F8" i="7"/>
  <c r="F9" i="7" s="1"/>
  <c r="F11" i="7" s="1"/>
  <c r="F35" i="7" s="1"/>
  <c r="BQ13" i="7"/>
  <c r="BO31" i="7"/>
  <c r="BP26" i="7"/>
  <c r="CG35" i="35" l="1"/>
  <c r="CG28" i="35"/>
  <c r="CH6" i="35"/>
  <c r="CH13" i="35" s="1"/>
  <c r="CE32" i="35"/>
  <c r="CF29" i="35"/>
  <c r="CF30" i="35"/>
  <c r="CF37" i="35"/>
  <c r="G33" i="35"/>
  <c r="G41" i="35"/>
  <c r="F13" i="7"/>
  <c r="CE10" i="34"/>
  <c r="CE11" i="34" s="1"/>
  <c r="CE15" i="34" s="1"/>
  <c r="CE18" i="34" s="1"/>
  <c r="CE17" i="34"/>
  <c r="CD15" i="34"/>
  <c r="CD18" i="34" s="1"/>
  <c r="CD19" i="34" s="1"/>
  <c r="CF7" i="34"/>
  <c r="CC15" i="34"/>
  <c r="CC18" i="34" s="1"/>
  <c r="CC19" i="34" s="1"/>
  <c r="G11" i="34"/>
  <c r="BQ29" i="7"/>
  <c r="F29" i="7" s="1"/>
  <c r="BR6" i="7"/>
  <c r="BR13" i="7" s="1"/>
  <c r="BP31" i="7"/>
  <c r="BQ26" i="7"/>
  <c r="CF43" i="35" l="1"/>
  <c r="CF31" i="35"/>
  <c r="CE41" i="35"/>
  <c r="CE44" i="35" s="1"/>
  <c r="CE45" i="35" s="1"/>
  <c r="CH35" i="35"/>
  <c r="CH28" i="35"/>
  <c r="CI6" i="35"/>
  <c r="CI13" i="35" s="1"/>
  <c r="G53" i="35"/>
  <c r="G55" i="35" s="1"/>
  <c r="G58" i="35" s="1"/>
  <c r="G63" i="35" s="1"/>
  <c r="H62" i="35" s="1"/>
  <c r="G44" i="35"/>
  <c r="G45" i="35" s="1"/>
  <c r="CG30" i="35"/>
  <c r="CG37" i="35"/>
  <c r="CG29" i="35"/>
  <c r="CF8" i="34"/>
  <c r="CF9" i="34"/>
  <c r="CE19" i="34"/>
  <c r="CG7" i="34"/>
  <c r="G12" i="34"/>
  <c r="G15" i="34"/>
  <c r="BR29" i="7"/>
  <c r="BS6" i="7"/>
  <c r="F26" i="7"/>
  <c r="CI35" i="35" l="1"/>
  <c r="CI28" i="35"/>
  <c r="CJ6" i="35"/>
  <c r="CJ13" i="35" s="1"/>
  <c r="CH29" i="35"/>
  <c r="CH30" i="35"/>
  <c r="CH37" i="35"/>
  <c r="CG43" i="35"/>
  <c r="CG31" i="35"/>
  <c r="CG32" i="35" s="1"/>
  <c r="CG41" i="35" s="1"/>
  <c r="CG44" i="35" s="1"/>
  <c r="CF32" i="35"/>
  <c r="CH7" i="34"/>
  <c r="CG8" i="34"/>
  <c r="CG9" i="34"/>
  <c r="G18" i="34"/>
  <c r="G19" i="34" s="1"/>
  <c r="CF17" i="34"/>
  <c r="CF10" i="34"/>
  <c r="CF11" i="34" s="1"/>
  <c r="BS13" i="7"/>
  <c r="BR26" i="7"/>
  <c r="BQ31" i="7"/>
  <c r="CJ35" i="35" l="1"/>
  <c r="CJ28" i="35"/>
  <c r="CK6" i="35"/>
  <c r="CK13" i="35" s="1"/>
  <c r="CI37" i="35"/>
  <c r="CI29" i="35"/>
  <c r="CI30" i="35"/>
  <c r="CH43" i="35"/>
  <c r="CH31" i="35"/>
  <c r="CH32" i="35" s="1"/>
  <c r="CH41" i="35" s="1"/>
  <c r="CH44" i="35" s="1"/>
  <c r="CG45" i="35"/>
  <c r="CF41" i="35"/>
  <c r="CF44" i="35" s="1"/>
  <c r="CF45" i="35" s="1"/>
  <c r="BS29" i="7"/>
  <c r="BT6" i="7"/>
  <c r="BT13" i="7" s="1"/>
  <c r="BU6" i="7" s="1"/>
  <c r="CF15" i="34"/>
  <c r="CF18" i="34" s="1"/>
  <c r="CF19" i="34" s="1"/>
  <c r="CI7" i="34"/>
  <c r="CG17" i="34"/>
  <c r="CG10" i="34"/>
  <c r="CH8" i="34"/>
  <c r="CH9" i="34"/>
  <c r="F31" i="7"/>
  <c r="F39" i="7" s="1"/>
  <c r="F41" i="7" s="1"/>
  <c r="BS26" i="7"/>
  <c r="CH45" i="35" l="1"/>
  <c r="BT29" i="7"/>
  <c r="CI43" i="35"/>
  <c r="CI31" i="35"/>
  <c r="CK28" i="35"/>
  <c r="CL6" i="35"/>
  <c r="CL13" i="35" s="1"/>
  <c r="CK35" i="35"/>
  <c r="CI32" i="35"/>
  <c r="CI41" i="35" s="1"/>
  <c r="CI44" i="35" s="1"/>
  <c r="CI45" i="35" s="1"/>
  <c r="CJ37" i="35"/>
  <c r="CJ29" i="35"/>
  <c r="CJ30" i="35"/>
  <c r="CI8" i="34"/>
  <c r="CI9" i="34"/>
  <c r="CJ7" i="34"/>
  <c r="CG11" i="34"/>
  <c r="CH17" i="34"/>
  <c r="CH10" i="34"/>
  <c r="CH11" i="34" s="1"/>
  <c r="CH15" i="34" s="1"/>
  <c r="CH18" i="34" s="1"/>
  <c r="F44" i="7"/>
  <c r="F49" i="7" s="1"/>
  <c r="G48" i="7" s="1"/>
  <c r="BS31" i="7"/>
  <c r="BT26" i="7"/>
  <c r="BR31" i="7"/>
  <c r="BU13" i="7"/>
  <c r="CH19" i="34" l="1"/>
  <c r="CJ43" i="35"/>
  <c r="CJ31" i="35"/>
  <c r="CJ32" i="35" s="1"/>
  <c r="CK30" i="35"/>
  <c r="CK29" i="35"/>
  <c r="CK37" i="35"/>
  <c r="CL35" i="35"/>
  <c r="CM6" i="35"/>
  <c r="CM13" i="35" s="1"/>
  <c r="CL28" i="35"/>
  <c r="CK7" i="34"/>
  <c r="CJ9" i="34"/>
  <c r="CJ8" i="34"/>
  <c r="CG15" i="34"/>
  <c r="CG18" i="34" s="1"/>
  <c r="CG19" i="34" s="1"/>
  <c r="CI17" i="34"/>
  <c r="CI10" i="34"/>
  <c r="CI11" i="34" s="1"/>
  <c r="BV6" i="7"/>
  <c r="BU29" i="7"/>
  <c r="BT31" i="7"/>
  <c r="CM28" i="35" l="1"/>
  <c r="CN6" i="35"/>
  <c r="CN13" i="35" s="1"/>
  <c r="CM35" i="35"/>
  <c r="CJ41" i="35"/>
  <c r="CJ44" i="35" s="1"/>
  <c r="CJ45" i="35" s="1"/>
  <c r="CL30" i="35"/>
  <c r="CL37" i="35"/>
  <c r="CL29" i="35"/>
  <c r="CK43" i="35"/>
  <c r="CK31" i="35"/>
  <c r="CK32" i="35" s="1"/>
  <c r="CK41" i="35" s="1"/>
  <c r="CK44" i="35" s="1"/>
  <c r="CI15" i="34"/>
  <c r="CI18" i="34" s="1"/>
  <c r="CI19" i="34" s="1"/>
  <c r="CL7" i="34"/>
  <c r="CJ17" i="34"/>
  <c r="CJ10" i="34"/>
  <c r="CJ11" i="34"/>
  <c r="CJ15" i="34" s="1"/>
  <c r="CJ18" i="34" s="1"/>
  <c r="CK9" i="34"/>
  <c r="CK8" i="34"/>
  <c r="BU26" i="7"/>
  <c r="BV13" i="7"/>
  <c r="CK45" i="35" l="1"/>
  <c r="CJ19" i="34"/>
  <c r="CN35" i="35"/>
  <c r="CO6" i="35"/>
  <c r="H6" i="35" s="1"/>
  <c r="CN28" i="35"/>
  <c r="CL43" i="35"/>
  <c r="CL31" i="35"/>
  <c r="CL32" i="35" s="1"/>
  <c r="CL41" i="35" s="1"/>
  <c r="CL44" i="35" s="1"/>
  <c r="CM37" i="35"/>
  <c r="CM30" i="35"/>
  <c r="CM29" i="35"/>
  <c r="CM7" i="34"/>
  <c r="CL9" i="34"/>
  <c r="CL8" i="34"/>
  <c r="CK17" i="34"/>
  <c r="CK10" i="34"/>
  <c r="CK11" i="34" s="1"/>
  <c r="CK15" i="34" s="1"/>
  <c r="CK18" i="34" s="1"/>
  <c r="BV29" i="7"/>
  <c r="BW6" i="7"/>
  <c r="BW13" i="7" s="1"/>
  <c r="CL45" i="35" l="1"/>
  <c r="CM43" i="35"/>
  <c r="CM31" i="35"/>
  <c r="CM32" i="35" s="1"/>
  <c r="CM41" i="35" s="1"/>
  <c r="CM44" i="35" s="1"/>
  <c r="CM45" i="35" s="1"/>
  <c r="CO13" i="35"/>
  <c r="CN30" i="35"/>
  <c r="CN29" i="35"/>
  <c r="CN37" i="35"/>
  <c r="H12" i="35"/>
  <c r="H8" i="35"/>
  <c r="H9" i="35" s="1"/>
  <c r="H11" i="35" s="1"/>
  <c r="H49" i="35" s="1"/>
  <c r="CK19" i="34"/>
  <c r="CL17" i="34"/>
  <c r="CL10" i="34"/>
  <c r="CL11" i="34" s="1"/>
  <c r="CL15" i="34" s="1"/>
  <c r="CL18" i="34" s="1"/>
  <c r="CN7" i="34"/>
  <c r="CM9" i="34"/>
  <c r="CM8" i="34"/>
  <c r="BX6" i="7"/>
  <c r="BX13" i="7" s="1"/>
  <c r="BW29" i="7"/>
  <c r="BV26" i="7"/>
  <c r="CO35" i="35" l="1"/>
  <c r="H35" i="35" s="1"/>
  <c r="H13" i="35"/>
  <c r="CO28" i="35"/>
  <c r="CN43" i="35"/>
  <c r="CN31" i="35"/>
  <c r="CN32" i="35" s="1"/>
  <c r="CN41" i="35" s="1"/>
  <c r="CN44" i="35" s="1"/>
  <c r="CL19" i="34"/>
  <c r="CM17" i="34"/>
  <c r="CM10" i="34"/>
  <c r="CM11" i="34" s="1"/>
  <c r="CM15" i="34" s="1"/>
  <c r="CM18" i="34" s="1"/>
  <c r="CN9" i="34"/>
  <c r="CN8" i="34"/>
  <c r="CO7" i="34"/>
  <c r="BU31" i="7"/>
  <c r="BY6" i="7"/>
  <c r="BY13" i="7" s="1"/>
  <c r="BX29" i="7"/>
  <c r="BW26" i="7"/>
  <c r="CM19" i="34" l="1"/>
  <c r="CN45" i="35"/>
  <c r="CO30" i="35"/>
  <c r="CO37" i="35"/>
  <c r="H37" i="35" s="1"/>
  <c r="CO29" i="35"/>
  <c r="H28" i="35"/>
  <c r="CO9" i="34"/>
  <c r="CO8" i="34"/>
  <c r="H7" i="34"/>
  <c r="CN17" i="34"/>
  <c r="CN10" i="34"/>
  <c r="CN11" i="34" s="1"/>
  <c r="CN15" i="34" s="1"/>
  <c r="CN18" i="34" s="1"/>
  <c r="BV31" i="7"/>
  <c r="BW31" i="7"/>
  <c r="BY29" i="7"/>
  <c r="BZ6" i="7"/>
  <c r="BZ13" i="7" s="1"/>
  <c r="BX26" i="7"/>
  <c r="CN19" i="34" l="1"/>
  <c r="CO43" i="35"/>
  <c r="CO31" i="35"/>
  <c r="H31" i="35" s="1"/>
  <c r="H29" i="35"/>
  <c r="H43" i="35" s="1"/>
  <c r="H30" i="35"/>
  <c r="CO17" i="34"/>
  <c r="CO10" i="34"/>
  <c r="H10" i="34" s="1"/>
  <c r="H8" i="34"/>
  <c r="H17" i="34" s="1"/>
  <c r="H9" i="34"/>
  <c r="BX31" i="7"/>
  <c r="BZ29" i="7"/>
  <c r="CA6" i="7"/>
  <c r="CA13" i="7" s="1"/>
  <c r="BY26" i="7"/>
  <c r="CO32" i="35" l="1"/>
  <c r="CO11" i="34"/>
  <c r="BY31" i="7"/>
  <c r="CB6" i="7"/>
  <c r="CB13" i="7" s="1"/>
  <c r="CA29" i="7"/>
  <c r="BZ26" i="7"/>
  <c r="CO41" i="35" l="1"/>
  <c r="CO44" i="35" s="1"/>
  <c r="CO45" i="35" s="1"/>
  <c r="H32" i="35"/>
  <c r="CO15" i="34"/>
  <c r="CO18" i="34" s="1"/>
  <c r="CO19" i="34" s="1"/>
  <c r="H11" i="34"/>
  <c r="CC6" i="7"/>
  <c r="G6" i="7" s="1"/>
  <c r="CB29" i="7"/>
  <c r="BZ31" i="7"/>
  <c r="CA26" i="7"/>
  <c r="H33" i="35" l="1"/>
  <c r="H41" i="35"/>
  <c r="H12" i="34"/>
  <c r="H15" i="34"/>
  <c r="G12" i="7"/>
  <c r="G8" i="7"/>
  <c r="G9" i="7" s="1"/>
  <c r="G11" i="7" s="1"/>
  <c r="G35" i="7" s="1"/>
  <c r="CC13" i="7"/>
  <c r="CA31" i="7"/>
  <c r="CB26" i="7"/>
  <c r="H53" i="35" l="1"/>
  <c r="H55" i="35" s="1"/>
  <c r="H58" i="35" s="1"/>
  <c r="H63" i="35" s="1"/>
  <c r="H44" i="35"/>
  <c r="H45" i="35" s="1"/>
  <c r="G13" i="7"/>
  <c r="H18" i="34"/>
  <c r="H19" i="34" s="1"/>
  <c r="CD6" i="7"/>
  <c r="CD13" i="7" s="1"/>
  <c r="CD29" i="7" s="1"/>
  <c r="CB31" i="7"/>
  <c r="CC29" i="7"/>
  <c r="G29" i="7" s="1"/>
  <c r="CE6" i="7" l="1"/>
  <c r="CE13" i="7" s="1"/>
  <c r="CE29" i="7" s="1"/>
  <c r="CC26" i="7"/>
  <c r="G26" i="7" s="1"/>
  <c r="CD26" i="7" l="1"/>
  <c r="CF6" i="7"/>
  <c r="CF13" i="7" s="1"/>
  <c r="CF29" i="7" s="1"/>
  <c r="CG6" i="7" l="1"/>
  <c r="CG13" i="7" s="1"/>
  <c r="CG29" i="7" s="1"/>
  <c r="CE26" i="7"/>
  <c r="CC31" i="7" l="1"/>
  <c r="CH6" i="7"/>
  <c r="CH13" i="7" s="1"/>
  <c r="CH29" i="7" s="1"/>
  <c r="CE31" i="7"/>
  <c r="CF26" i="7"/>
  <c r="G31" i="7" l="1"/>
  <c r="G39" i="7" s="1"/>
  <c r="G41" i="7" s="1"/>
  <c r="CD31" i="7"/>
  <c r="CI6" i="7"/>
  <c r="CI13" i="7" s="1"/>
  <c r="CI29" i="7" s="1"/>
  <c r="CG26" i="7"/>
  <c r="G44" i="7" l="1"/>
  <c r="G49" i="7" s="1"/>
  <c r="H48" i="7" s="1"/>
  <c r="CJ6" i="7"/>
  <c r="CJ13" i="7" s="1"/>
  <c r="CJ29" i="7" s="1"/>
  <c r="CH26" i="7"/>
  <c r="CG31" i="7"/>
  <c r="CF31" i="7" l="1"/>
  <c r="CH31" i="7"/>
  <c r="CK6" i="7"/>
  <c r="CK13" i="7" s="1"/>
  <c r="CK29" i="7" s="1"/>
  <c r="CI26" i="7"/>
  <c r="CI31" i="7" l="1"/>
  <c r="CL6" i="7"/>
  <c r="CL13" i="7" s="1"/>
  <c r="CL29" i="7" s="1"/>
  <c r="CJ26" i="7"/>
  <c r="CK26" i="7" l="1"/>
  <c r="CJ31" i="7"/>
  <c r="CM6" i="7"/>
  <c r="CM13" i="7" s="1"/>
  <c r="CM29" i="7" s="1"/>
  <c r="CN6" i="7" l="1"/>
  <c r="CN13" i="7" s="1"/>
  <c r="CN29" i="7" s="1"/>
  <c r="CL26" i="7"/>
  <c r="CK31" i="7"/>
  <c r="CM26" i="7" l="1"/>
  <c r="CL31" i="7"/>
  <c r="CO6" i="7"/>
  <c r="CO13" i="7" l="1"/>
  <c r="H6" i="7"/>
  <c r="CN26" i="7"/>
  <c r="CM31" i="7"/>
  <c r="H12" i="7" l="1"/>
  <c r="H13" i="7" s="1"/>
  <c r="H8" i="7"/>
  <c r="H9" i="7" s="1"/>
  <c r="H11" i="7" s="1"/>
  <c r="H35" i="7" s="1"/>
  <c r="CO29" i="7"/>
  <c r="H29" i="7" s="1"/>
  <c r="CO26" i="7"/>
  <c r="H26" i="7" s="1"/>
  <c r="CN31" i="7"/>
  <c r="CO31" i="7" l="1"/>
  <c r="H31" i="7" l="1"/>
  <c r="H39" i="7" s="1"/>
  <c r="H41" i="7" s="1"/>
  <c r="H44" i="7" l="1"/>
  <c r="H49" i="7" s="1"/>
</calcChain>
</file>

<file path=xl/sharedStrings.xml><?xml version="1.0" encoding="utf-8"?>
<sst xmlns="http://schemas.openxmlformats.org/spreadsheetml/2006/main" count="476" uniqueCount="316">
  <si>
    <t>Year 1</t>
  </si>
  <si>
    <t>Year 2</t>
  </si>
  <si>
    <t>Nigh transaction fee</t>
  </si>
  <si>
    <t>Nigh per ticket fee</t>
  </si>
  <si>
    <t>Stripe per ticket fee</t>
  </si>
  <si>
    <t>Net Nigh ticket fee</t>
  </si>
  <si>
    <t>Stripe credit card fee</t>
  </si>
  <si>
    <t>Year 3</t>
  </si>
  <si>
    <t>Year 4</t>
  </si>
  <si>
    <t>Year 5</t>
  </si>
  <si>
    <t>Net Nigh transaction fee</t>
  </si>
  <si>
    <t>Year 0</t>
  </si>
  <si>
    <t>Business Signups (MoM)</t>
  </si>
  <si>
    <t>Average Ticket</t>
  </si>
  <si>
    <t>Tickets Sold</t>
  </si>
  <si>
    <t>Total Ticket Sales</t>
  </si>
  <si>
    <t>Net transaction fee (-Stripe)</t>
  </si>
  <si>
    <t>Ticket Sales</t>
  </si>
  <si>
    <t>TOTAL REVENUE</t>
  </si>
  <si>
    <t>Net ticket fee (-Stripe)</t>
  </si>
  <si>
    <t>Avg Total Sales per Business</t>
  </si>
  <si>
    <t>Nigh Revenue % of Biz Sales</t>
  </si>
  <si>
    <t>Nigh Total Revenue per Business</t>
  </si>
  <si>
    <t>Total</t>
  </si>
  <si>
    <t>Year 6</t>
  </si>
  <si>
    <t>Year 7</t>
  </si>
  <si>
    <t>CBSA Code</t>
  </si>
  <si>
    <t>CBSA Title</t>
  </si>
  <si>
    <t>New York-Newark-Jersey City, NY-NJ-PA</t>
  </si>
  <si>
    <t>Los Angeles-Long Beach-Anaheim, CA</t>
  </si>
  <si>
    <t>Chicago-Naperville-Elgin, IL-IN-WI</t>
  </si>
  <si>
    <t>Dallas-Fort Worth-Arlington, TX</t>
  </si>
  <si>
    <t>Houston-The Woodlands-Sugar Land, TX</t>
  </si>
  <si>
    <t>Washington-Arlington-Alexandria, DC-VA-MD-WV</t>
  </si>
  <si>
    <t>Philadelphia-Camden-Wilmington, PA-NJ-DE-MD</t>
  </si>
  <si>
    <t>Atlanta-Sandy Springs-Alpharetta, GA</t>
  </si>
  <si>
    <t>Miami-Fort Lauderdale-Pompano Beach, FL</t>
  </si>
  <si>
    <t>Phoenix-Mesa-Chandler, AZ</t>
  </si>
  <si>
    <t>Boston-Cambridge-Newton, MA-NH</t>
  </si>
  <si>
    <t>Riverside-San Bernardino-Ontario, CA</t>
  </si>
  <si>
    <t>San Francisco-Oakland-Berkeley, CA</t>
  </si>
  <si>
    <t>Detroit-Warren-Dearborn, MI</t>
  </si>
  <si>
    <t>Seattle-Tacoma-Bellevue, WA</t>
  </si>
  <si>
    <t>Minneapolis-St. Paul-Bloomington, MN-WI</t>
  </si>
  <si>
    <t>San Diego-Chula Vista-Carlsbad, CA</t>
  </si>
  <si>
    <t>Tampa-St. Petersburg-Clearwater, FL</t>
  </si>
  <si>
    <t>Denver-Aurora-Lakewood, CO</t>
  </si>
  <si>
    <t>Baltimore-Columbia-Towson, MD</t>
  </si>
  <si>
    <t>St. Louis, MO-IL</t>
  </si>
  <si>
    <t>Charlotte-Concord-Gastonia, NC-SC</t>
  </si>
  <si>
    <t>Orlando-Kissimmee-Sanford, FL</t>
  </si>
  <si>
    <t>San Antonio-New Braunfels, TX</t>
  </si>
  <si>
    <t>Portland-Vancouver-Hillsboro, OR-WA</t>
  </si>
  <si>
    <t>Sacramento-Roseville-Folsom, CA</t>
  </si>
  <si>
    <t>Pittsburgh, PA</t>
  </si>
  <si>
    <t>Austin-Round Rock-Georgetown, TX</t>
  </si>
  <si>
    <t>Las Vegas-Henderson-Paradise, NV</t>
  </si>
  <si>
    <t>Cincinnati, OH-KY-IN</t>
  </si>
  <si>
    <t>Kansas City, MO-KS</t>
  </si>
  <si>
    <t>Columbus, OH</t>
  </si>
  <si>
    <t>Indianapolis-Carmel-Anderson, IN</t>
  </si>
  <si>
    <t>Cleveland-Elyria, OH</t>
  </si>
  <si>
    <t>Nashville-Davidson--Murfreesboro--Franklin, TN</t>
  </si>
  <si>
    <t>San Jose-Sunnyvale-Santa Clara, CA</t>
  </si>
  <si>
    <t>Virginia Beach-Norfolk-Newport News, VA-NC</t>
  </si>
  <si>
    <t>Providence-Warwick, RI-MA</t>
  </si>
  <si>
    <t>Jacksonville, FL</t>
  </si>
  <si>
    <t>Milwaukee-Waukesha, WI</t>
  </si>
  <si>
    <t>Raleigh-Cary, NC</t>
  </si>
  <si>
    <t>Oklahoma City, OK</t>
  </si>
  <si>
    <t>Memphis, TN-MS-AR</t>
  </si>
  <si>
    <t>Richmond, VA</t>
  </si>
  <si>
    <t>Louisville/Jefferson County, KY-IN</t>
  </si>
  <si>
    <t>Salt Lake City, UT</t>
  </si>
  <si>
    <t>New Orleans-Metairie, LA</t>
  </si>
  <si>
    <t>Hartford-East Hartford-Middletown, CT</t>
  </si>
  <si>
    <t>Buffalo-Cheektowaga, NY</t>
  </si>
  <si>
    <t>Birmingham-Hoover, AL</t>
  </si>
  <si>
    <t>Top 50 Totals</t>
  </si>
  <si>
    <t>71: Arts, Entertainment, &amp; Recreation</t>
  </si>
  <si>
    <t>722: Food Service &amp; Drinking Places</t>
  </si>
  <si>
    <t>812: Personal and Laundry Services</t>
  </si>
  <si>
    <t>All MSAs</t>
  </si>
  <si>
    <t>Customer acquistion cost</t>
  </si>
  <si>
    <t>Customer churn</t>
  </si>
  <si>
    <t>Avg price per ticket</t>
  </si>
  <si>
    <t>Business subscription revenue</t>
  </si>
  <si>
    <t>Nigh take rate</t>
  </si>
  <si>
    <t>Nigh ticket revenue</t>
  </si>
  <si>
    <t>Starting Month</t>
  </si>
  <si>
    <t>Team</t>
  </si>
  <si>
    <t>Business Subscriptions</t>
  </si>
  <si>
    <t>Monthly Churn</t>
  </si>
  <si>
    <t>Launch Tier</t>
  </si>
  <si>
    <t>Tier 1 MSAs</t>
  </si>
  <si>
    <t>Tier 2 MSAs</t>
  </si>
  <si>
    <t>Tier 3 MSAs</t>
  </si>
  <si>
    <t>Total Merchants</t>
  </si>
  <si>
    <t>Denver Metro</t>
  </si>
  <si>
    <t>Boulder Metro</t>
  </si>
  <si>
    <t>Population</t>
  </si>
  <si>
    <t>Boulder, CO</t>
  </si>
  <si>
    <t>Colorado Springs, CO</t>
  </si>
  <si>
    <t>Fort Collins, CO</t>
  </si>
  <si>
    <t>Greeley, CO</t>
  </si>
  <si>
    <t>Pueblo, CO Metro Area</t>
  </si>
  <si>
    <t>Grand Junction, CO</t>
  </si>
  <si>
    <t>Edwards, CO</t>
  </si>
  <si>
    <t>Durango, CO</t>
  </si>
  <si>
    <t>Montrose, CO</t>
  </si>
  <si>
    <t>Steamboat Springs, CO</t>
  </si>
  <si>
    <t>Breckenridge, CO</t>
  </si>
  <si>
    <t>Fort Morgan, CO</t>
  </si>
  <si>
    <t>Sterling, CO</t>
  </si>
  <si>
    <t>Rest of Colorado</t>
  </si>
  <si>
    <t>Fort Collins Metro</t>
  </si>
  <si>
    <t>Colorado Springs Metro</t>
  </si>
  <si>
    <t>NA</t>
  </si>
  <si>
    <t>TOTAL</t>
  </si>
  <si>
    <t>U.S. Metro</t>
  </si>
  <si>
    <t>TOTAL MERCHANTS</t>
  </si>
  <si>
    <t>Total Users Acquired</t>
  </si>
  <si>
    <t>New Users Acquired</t>
  </si>
  <si>
    <t>Remaining MSAs</t>
  </si>
  <si>
    <t>NIGH USER % MARKET PENTRATION BY METRO EOY</t>
  </si>
  <si>
    <t>NIGH MERCHANT % MARKET PENTRATION BY METRO EOY</t>
  </si>
  <si>
    <t xml:space="preserve"> 44/45: Retail*</t>
  </si>
  <si>
    <t>*Remove 6% for Nonstore Retailers: NAICS 454</t>
  </si>
  <si>
    <t>Source: US Census 2020, U.S. Bureau of Labor Statistics</t>
  </si>
  <si>
    <t>TOTAL MERCHANTS IN MSAs</t>
  </si>
  <si>
    <t>% Organic Acquisition</t>
  </si>
  <si>
    <t>Ad/Boost revenue</t>
  </si>
  <si>
    <t>% of videos boosted</t>
  </si>
  <si>
    <t>% of Businesses Subscribed</t>
  </si>
  <si>
    <t>Impression per Customer</t>
  </si>
  <si>
    <t>Avg price per impression</t>
  </si>
  <si>
    <t>Customer Subscriptions</t>
  </si>
  <si>
    <t>% of Customers Subscribed</t>
  </si>
  <si>
    <t>Influencer Subscriptions</t>
  </si>
  <si>
    <t>Avg Monthly $ Per Influencer</t>
  </si>
  <si>
    <t>Avg Monthly $ Per Customer</t>
  </si>
  <si>
    <t>Avg Montly $ Per Biz</t>
  </si>
  <si>
    <t>% Influencers to Customers Ratio</t>
  </si>
  <si>
    <t>% of Infuencers Subscribed</t>
  </si>
  <si>
    <t>EXPENSES</t>
  </si>
  <si>
    <t>Engineering/Product</t>
  </si>
  <si>
    <t>Customers</t>
  </si>
  <si>
    <t>SIGNUPS</t>
  </si>
  <si>
    <t>SALES/REVENUE</t>
  </si>
  <si>
    <t>Expenses</t>
  </si>
  <si>
    <t>% organic sign ups</t>
  </si>
  <si>
    <t>Operating Expenses</t>
  </si>
  <si>
    <t>Variable (% of rev)</t>
  </si>
  <si>
    <t>TOTAL EXPENSES</t>
  </si>
  <si>
    <t>CASH AT START</t>
  </si>
  <si>
    <t>CASH AT END</t>
  </si>
  <si>
    <t>CAPITAL</t>
  </si>
  <si>
    <t>CAPITAL IN</t>
  </si>
  <si>
    <t>NET INCOME (+/-)</t>
  </si>
  <si>
    <t>Launch Cost</t>
  </si>
  <si>
    <t># of MSAs</t>
  </si>
  <si>
    <t>nationwide</t>
  </si>
  <si>
    <t>Launch Year</t>
  </si>
  <si>
    <t>TOTAL MERCHANTS ACQUIRED BY METRO EOY</t>
  </si>
  <si>
    <t>TOTAL USERS ACQUIRED BY METRO EOY</t>
  </si>
  <si>
    <t>MSA launch cost</t>
  </si>
  <si>
    <t>% Organic acquisition</t>
  </si>
  <si>
    <t>Colorado</t>
  </si>
  <si>
    <t>Nationwide</t>
  </si>
  <si>
    <t>Top 10 MSAs</t>
  </si>
  <si>
    <t>Role</t>
  </si>
  <si>
    <t>Team Member</t>
  </si>
  <si>
    <t>Load</t>
  </si>
  <si>
    <t>Monthly</t>
  </si>
  <si>
    <t>Software Engineer-India</t>
  </si>
  <si>
    <t>Sid</t>
  </si>
  <si>
    <t>Raghu</t>
  </si>
  <si>
    <t>Sandy</t>
  </si>
  <si>
    <t>Software Engineer</t>
  </si>
  <si>
    <t>Andy</t>
  </si>
  <si>
    <t>Senior Software Engineer</t>
  </si>
  <si>
    <t>OPEN</t>
  </si>
  <si>
    <t>Christian</t>
  </si>
  <si>
    <t>Senior Product Manager</t>
  </si>
  <si>
    <t>Marketing/Sales</t>
  </si>
  <si>
    <t>Community Lead</t>
  </si>
  <si>
    <t>Sam</t>
  </si>
  <si>
    <t>Addy</t>
  </si>
  <si>
    <t>Product Manager</t>
  </si>
  <si>
    <t>Accounting/Payroll Services</t>
  </si>
  <si>
    <t>Business Development</t>
  </si>
  <si>
    <t>Legal Services &amp; Patents</t>
  </si>
  <si>
    <t>Office Rent &amp; Facilities</t>
  </si>
  <si>
    <t>Technology/SaaS Subscriptions</t>
  </si>
  <si>
    <t>Technology &amp; Equipment</t>
  </si>
  <si>
    <t>Hiring &amp; Recruiting</t>
  </si>
  <si>
    <t>Subscriptions</t>
  </si>
  <si>
    <t>Seed</t>
  </si>
  <si>
    <t>Seed+</t>
  </si>
  <si>
    <t>Series A</t>
  </si>
  <si>
    <t>Top 50 MSAs</t>
  </si>
  <si>
    <t>Variable of Revenue</t>
  </si>
  <si>
    <t>Annual Escalator</t>
  </si>
  <si>
    <t>%</t>
  </si>
  <si>
    <t>Businesses Sign Ups</t>
  </si>
  <si>
    <t>New businesses sign ups</t>
  </si>
  <si>
    <t>Organic businesses</t>
  </si>
  <si>
    <t>Paid businesses</t>
  </si>
  <si>
    <t>Users Sign Ups</t>
  </si>
  <si>
    <t>Business acquisition cost (per)</t>
  </si>
  <si>
    <t>Total business acqusition cost</t>
  </si>
  <si>
    <t>Business churn</t>
  </si>
  <si>
    <t>Total Businesses (ending)</t>
  </si>
  <si>
    <t>New users sign ups</t>
  </si>
  <si>
    <t>Organic user sign ups</t>
  </si>
  <si>
    <t>Paid user sign ups</t>
  </si>
  <si>
    <t>Customer user cost (per)</t>
  </si>
  <si>
    <t>Total user acquistion cost</t>
  </si>
  <si>
    <t>User churn</t>
  </si>
  <si>
    <t>Total Users (ending)</t>
  </si>
  <si>
    <t>User subscription revenue</t>
  </si>
  <si>
    <t>Business acquisition cost</t>
  </si>
  <si>
    <t>User acquisition cost</t>
  </si>
  <si>
    <t>Growth</t>
  </si>
  <si>
    <t>REVENUE</t>
  </si>
  <si>
    <t>Transaction revenue</t>
  </si>
  <si>
    <t>Growth Marketing</t>
  </si>
  <si>
    <t>Businesses</t>
  </si>
  <si>
    <t>Business Acquistion Cost</t>
  </si>
  <si>
    <t>TRANSACTION REVENUE</t>
  </si>
  <si>
    <t>Sr Software Engineer-India</t>
  </si>
  <si>
    <t>Pavan</t>
  </si>
  <si>
    <t>Jack</t>
  </si>
  <si>
    <t>Growth Lead</t>
  </si>
  <si>
    <t>Biz Dev Lead</t>
  </si>
  <si>
    <t>Marketing (non-direct)</t>
  </si>
  <si>
    <t>Meals, Events, Team Building</t>
  </si>
  <si>
    <t>Licenses, Insurance, &amp; Fees</t>
  </si>
  <si>
    <t>Social Media Lead</t>
  </si>
  <si>
    <t>Salary</t>
  </si>
  <si>
    <t>Travel Expenses</t>
  </si>
  <si>
    <t>Office Supplies &amp; Misc</t>
  </si>
  <si>
    <t>Pre-Seed</t>
  </si>
  <si>
    <t>Ticketing</t>
  </si>
  <si>
    <t>Paid CAC</t>
  </si>
  <si>
    <t>New Users (Paid)</t>
  </si>
  <si>
    <t>Organic : Paid Ratio</t>
  </si>
  <si>
    <t>New Users (Organic)</t>
  </si>
  <si>
    <t>Total New Users</t>
  </si>
  <si>
    <t>Churn Rate for Users</t>
  </si>
  <si>
    <t>Churned Users</t>
  </si>
  <si>
    <t>Average Log Ins (sessions) / Month</t>
  </si>
  <si>
    <t>Average Session Time (minutes)</t>
  </si>
  <si>
    <t>Ad Impressions / Minute (ad load)</t>
  </si>
  <si>
    <t>Ads Shows / User / Month</t>
  </si>
  <si>
    <t>CPM (cost per 1,000 ad impressions)</t>
  </si>
  <si>
    <t>Revenue / Ad</t>
  </si>
  <si>
    <t>Monthly Revenue / User</t>
  </si>
  <si>
    <t>Annual Revenue / User</t>
  </si>
  <si>
    <t>Marketing Spend</t>
  </si>
  <si>
    <t>Total Monthly Active Users (MAU)</t>
  </si>
  <si>
    <t>Pro Account Sign Ups</t>
  </si>
  <si>
    <t>New Pros (Paid)</t>
  </si>
  <si>
    <t>New Pros (Organic)</t>
  </si>
  <si>
    <t>Total Pro Accounts</t>
  </si>
  <si>
    <t>Total New Pro Accounts</t>
  </si>
  <si>
    <t>Churn Rate for Pros</t>
  </si>
  <si>
    <t>Churned Pro Accounts</t>
  </si>
  <si>
    <t>Total Monthly Active Pros</t>
  </si>
  <si>
    <t>User Marketing</t>
  </si>
  <si>
    <t>Online Ads</t>
  </si>
  <si>
    <t>Partnerships</t>
  </si>
  <si>
    <t>Pro Marketing</t>
  </si>
  <si>
    <t>Mailings</t>
  </si>
  <si>
    <t>Events/Sponsorships</t>
  </si>
  <si>
    <t>Lead Gen</t>
  </si>
  <si>
    <t>Total Pro Marketing</t>
  </si>
  <si>
    <t>Total User Marketing</t>
  </si>
  <si>
    <t>Average Revenue Per Account</t>
  </si>
  <si>
    <t>Monthly Reocurring Revenue</t>
  </si>
  <si>
    <t>Annual Reoccuring Revenue</t>
  </si>
  <si>
    <t>Avg # of Subscribers</t>
  </si>
  <si>
    <t>New</t>
  </si>
  <si>
    <t>Churn</t>
  </si>
  <si>
    <t>Net New</t>
  </si>
  <si>
    <t>Expansion (upsell)</t>
  </si>
  <si>
    <t>Subscribers</t>
  </si>
  <si>
    <t>Net Add</t>
  </si>
  <si>
    <t>Net Total</t>
  </si>
  <si>
    <t xml:space="preserve"> </t>
  </si>
  <si>
    <t>SaaS Metrics</t>
  </si>
  <si>
    <t>MRR, ARR</t>
  </si>
  <si>
    <t>MoM, YoY, CMGR</t>
  </si>
  <si>
    <t>MRR dynamics- new, churned, expansion, contraction</t>
  </si>
  <si>
    <t>LTV</t>
  </si>
  <si>
    <t>CAC &amp; LTV:CAC ratio</t>
  </si>
  <si>
    <t>Burn/Runway</t>
  </si>
  <si>
    <t>Financials (MoM &amp; Budget vs Actuals)</t>
  </si>
  <si>
    <t>Trial/Discount</t>
  </si>
  <si>
    <t>Refunds</t>
  </si>
  <si>
    <t>Free</t>
  </si>
  <si>
    <t>Paid Tier 1</t>
  </si>
  <si>
    <t>Paid Tier 2</t>
  </si>
  <si>
    <t>Paid Tier 3</t>
  </si>
  <si>
    <t>Team (Salary+Load)</t>
  </si>
  <si>
    <t>Free Pro Accounts</t>
  </si>
  <si>
    <t>Paid Pro Accounts</t>
  </si>
  <si>
    <t>Subscription Revenue</t>
  </si>
  <si>
    <t>% Paid Subsriptions</t>
  </si>
  <si>
    <t>Avg Pro Subscription / Month</t>
  </si>
  <si>
    <t>Total Ad Revenue</t>
  </si>
  <si>
    <t>Pro subscription revenue</t>
  </si>
  <si>
    <t>Pro advertising revenue</t>
  </si>
  <si>
    <t>User advertising revenue</t>
  </si>
  <si>
    <t>ACCOUNTS</t>
  </si>
  <si>
    <t>User Account Sign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</si>
</sst>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\-yy;@"/>
    <numFmt numFmtId="165" formatCode="&quot;$&quot;#,##0"/>
    <numFmt numFmtId="166" formatCode="0.0%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0.0"/>
    <numFmt numFmtId="170" formatCode="_(&quot;$&quot;* #,##0.0000_);_(&quot;$&quot;* \(#,##0.0000\);_(&quot;$&quot;* &quot;-&quot;??_);_(@_)"/>
    <numFmt numFmtId="171" formatCode="_(&quot;$&quot;* #,##0_);_(&quot;$&quot;* \(#,##0\);_(&quot;$&quot;* &quot;-&quot;??_);_(@_)"/>
    <numFmt numFmtId="172" formatCode="#,##0.0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Inconsolata"/>
    </font>
    <font>
      <b/>
      <sz val="12"/>
      <color theme="0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432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3" fillId="0" borderId="0" xfId="0" applyNumberFormat="1" applyFont="1"/>
    <xf numFmtId="1" fontId="2" fillId="2" borderId="0" xfId="0" applyNumberFormat="1" applyFont="1" applyFill="1" applyAlignment="1">
      <alignment horizontal="center"/>
    </xf>
    <xf numFmtId="38" fontId="0" fillId="0" borderId="0" xfId="0" applyNumberFormat="1"/>
    <xf numFmtId="165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9" fontId="0" fillId="0" borderId="0" xfId="0" applyNumberFormat="1" applyAlignment="1">
      <alignment horizontal="center"/>
    </xf>
    <xf numFmtId="38" fontId="4" fillId="0" borderId="0" xfId="0" applyNumberFormat="1" applyFont="1"/>
    <xf numFmtId="165" fontId="4" fillId="0" borderId="0" xfId="0" applyNumberFormat="1" applyFont="1" applyAlignment="1">
      <alignment horizontal="center"/>
    </xf>
    <xf numFmtId="1" fontId="0" fillId="0" borderId="0" xfId="0" applyNumberFormat="1"/>
    <xf numFmtId="10" fontId="0" fillId="0" borderId="0" xfId="0" applyNumberFormat="1" applyAlignment="1">
      <alignment horizontal="center"/>
    </xf>
    <xf numFmtId="10" fontId="6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0" fillId="0" borderId="0" xfId="0" applyFont="1"/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11" fillId="0" borderId="0" xfId="0" applyFont="1"/>
    <xf numFmtId="3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166" fontId="0" fillId="3" borderId="0" xfId="1" applyNumberFormat="1" applyFont="1" applyFill="1" applyAlignment="1">
      <alignment horizontal="center"/>
    </xf>
    <xf numFmtId="6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8" fontId="6" fillId="3" borderId="0" xfId="0" applyNumberFormat="1" applyFont="1" applyFill="1" applyAlignment="1">
      <alignment horizontal="center"/>
    </xf>
    <xf numFmtId="166" fontId="8" fillId="0" borderId="0" xfId="1" applyNumberFormat="1" applyFont="1" applyAlignment="1">
      <alignment horizontal="center"/>
    </xf>
    <xf numFmtId="164" fontId="0" fillId="3" borderId="0" xfId="0" applyNumberFormat="1" applyFill="1" applyAlignment="1">
      <alignment horizontal="center"/>
    </xf>
    <xf numFmtId="9" fontId="10" fillId="0" borderId="0" xfId="1" applyFont="1" applyAlignment="1">
      <alignment horizontal="center"/>
    </xf>
    <xf numFmtId="0" fontId="10" fillId="0" borderId="0" xfId="0" applyFont="1" applyAlignment="1">
      <alignment horizontal="center" wrapText="1"/>
    </xf>
    <xf numFmtId="3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 wrapText="1"/>
    </xf>
    <xf numFmtId="0" fontId="10" fillId="0" borderId="0" xfId="0" quotePrefix="1" applyFont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3" fontId="13" fillId="0" borderId="0" xfId="0" applyNumberFormat="1" applyFont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3" fontId="8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9" fontId="0" fillId="3" borderId="0" xfId="1" applyFon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3" fillId="4" borderId="0" xfId="0" applyNumberFormat="1" applyFont="1" applyFill="1"/>
    <xf numFmtId="1" fontId="15" fillId="4" borderId="0" xfId="0" applyNumberFormat="1" applyFont="1" applyFill="1"/>
    <xf numFmtId="1" fontId="0" fillId="0" borderId="0" xfId="0" applyNumberFormat="1" applyAlignment="1">
      <alignment horizontal="left" indent="1"/>
    </xf>
    <xf numFmtId="38" fontId="0" fillId="0" borderId="0" xfId="0" applyNumberFormat="1" applyAlignment="1">
      <alignment horizontal="left" indent="1"/>
    </xf>
    <xf numFmtId="0" fontId="0" fillId="0" borderId="0" xfId="0" applyAlignment="1">
      <alignment horizontal="left"/>
    </xf>
    <xf numFmtId="165" fontId="10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indent="1"/>
    </xf>
    <xf numFmtId="9" fontId="0" fillId="0" borderId="0" xfId="1" applyFont="1" applyFill="1" applyAlignment="1">
      <alignment horizontal="center"/>
    </xf>
    <xf numFmtId="38" fontId="1" fillId="0" borderId="0" xfId="0" applyNumberFormat="1" applyFont="1"/>
    <xf numFmtId="3" fontId="1" fillId="0" borderId="0" xfId="0" applyNumberFormat="1" applyFont="1" applyAlignment="1">
      <alignment horizontal="center"/>
    </xf>
    <xf numFmtId="44" fontId="0" fillId="0" borderId="0" xfId="2" applyFont="1"/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6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165" fontId="0" fillId="0" borderId="0" xfId="0" quotePrefix="1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38" fontId="3" fillId="0" borderId="0" xfId="0" applyNumberFormat="1" applyFont="1"/>
    <xf numFmtId="0" fontId="1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169" fontId="18" fillId="0" borderId="0" xfId="0" applyNumberFormat="1" applyFont="1" applyAlignment="1">
      <alignment horizontal="center"/>
    </xf>
    <xf numFmtId="9" fontId="18" fillId="0" borderId="0" xfId="1" applyFont="1" applyFill="1" applyAlignment="1">
      <alignment horizontal="center"/>
    </xf>
    <xf numFmtId="1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" fontId="1" fillId="0" borderId="0" xfId="0" applyNumberFormat="1" applyFont="1"/>
    <xf numFmtId="44" fontId="0" fillId="0" borderId="0" xfId="2" applyFont="1" applyFill="1" applyAlignment="1">
      <alignment horizontal="center"/>
    </xf>
    <xf numFmtId="170" fontId="0" fillId="0" borderId="0" xfId="2" applyNumberFormat="1" applyFont="1" applyFill="1" applyAlignment="1">
      <alignment horizontal="center"/>
    </xf>
    <xf numFmtId="6" fontId="18" fillId="0" borderId="0" xfId="0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171" fontId="1" fillId="0" borderId="0" xfId="2" applyNumberFormat="1" applyFont="1" applyFill="1" applyAlignment="1">
      <alignment horizontal="center"/>
    </xf>
    <xf numFmtId="172" fontId="18" fillId="0" borderId="0" xfId="0" applyNumberFormat="1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10" fillId="0" borderId="0" xfId="0" applyFont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0F43-8CDB-DC42-B3E2-BBEAB217C335}">
  <sheetPr>
    <pageSetUpPr fitToPage="1"/>
  </sheetPr>
  <dimension ref="A1:CG52"/>
  <sheetViews>
    <sheetView tabSelected="1" workbookViewId="0">
      <pane xSplit="1" ySplit="2" topLeftCell="B4" activePane="bottomRight" state="frozen"/>
      <selection activeCell="E30" sqref="E30"/>
      <selection pane="topRight" activeCell="E30" sqref="E30"/>
      <selection pane="bottomLeft" activeCell="E30" sqref="E30"/>
      <selection pane="bottomRight" activeCell="E22" sqref="E22"/>
    </sheetView>
  </sheetViews>
  <sheetFormatPr baseColWidth="10" defaultRowHeight="16" x14ac:dyDescent="0.2"/>
  <cols>
    <col min="1" max="1" width="31.33203125" customWidth="1"/>
    <col min="2" max="51" width="12.83203125" style="3" customWidth="1"/>
    <col min="52" max="67" width="12.83203125" style="3" bestFit="1" customWidth="1"/>
    <col min="68" max="68" width="15" style="3" bestFit="1" customWidth="1"/>
    <col min="69" max="85" width="15.33203125" style="3" customWidth="1"/>
  </cols>
  <sheetData>
    <row r="1" spans="1:85" s="6" customFormat="1" x14ac:dyDescent="0.2">
      <c r="B1" s="6">
        <f>' Inputs'!B3</f>
        <v>45292</v>
      </c>
      <c r="C1" s="6">
        <f>B1+31</f>
        <v>45323</v>
      </c>
      <c r="D1" s="6">
        <f t="shared" ref="D1:BO1" si="0">C1+31</f>
        <v>45354</v>
      </c>
      <c r="E1" s="6">
        <f t="shared" si="0"/>
        <v>45385</v>
      </c>
      <c r="F1" s="6">
        <f t="shared" si="0"/>
        <v>45416</v>
      </c>
      <c r="G1" s="6">
        <f t="shared" si="0"/>
        <v>45447</v>
      </c>
      <c r="H1" s="6">
        <f t="shared" si="0"/>
        <v>45478</v>
      </c>
      <c r="I1" s="6">
        <f t="shared" si="0"/>
        <v>45509</v>
      </c>
      <c r="J1" s="6">
        <f t="shared" si="0"/>
        <v>45540</v>
      </c>
      <c r="K1" s="6">
        <f t="shared" si="0"/>
        <v>45571</v>
      </c>
      <c r="L1" s="6">
        <f t="shared" si="0"/>
        <v>45602</v>
      </c>
      <c r="M1" s="6">
        <f t="shared" si="0"/>
        <v>45633</v>
      </c>
      <c r="N1" s="6">
        <f t="shared" si="0"/>
        <v>45664</v>
      </c>
      <c r="O1" s="6">
        <f t="shared" si="0"/>
        <v>45695</v>
      </c>
      <c r="P1" s="6">
        <f t="shared" si="0"/>
        <v>45726</v>
      </c>
      <c r="Q1" s="6">
        <f t="shared" si="0"/>
        <v>45757</v>
      </c>
      <c r="R1" s="6">
        <f t="shared" si="0"/>
        <v>45788</v>
      </c>
      <c r="S1" s="6">
        <f t="shared" si="0"/>
        <v>45819</v>
      </c>
      <c r="T1" s="6">
        <f t="shared" si="0"/>
        <v>45850</v>
      </c>
      <c r="U1" s="6">
        <f t="shared" si="0"/>
        <v>45881</v>
      </c>
      <c r="V1" s="6">
        <f t="shared" si="0"/>
        <v>45912</v>
      </c>
      <c r="W1" s="6">
        <f t="shared" si="0"/>
        <v>45943</v>
      </c>
      <c r="X1" s="6">
        <f t="shared" si="0"/>
        <v>45974</v>
      </c>
      <c r="Y1" s="6">
        <f t="shared" si="0"/>
        <v>46005</v>
      </c>
      <c r="Z1" s="6">
        <f t="shared" si="0"/>
        <v>46036</v>
      </c>
      <c r="AA1" s="6">
        <f t="shared" si="0"/>
        <v>46067</v>
      </c>
      <c r="AB1" s="6">
        <f t="shared" si="0"/>
        <v>46098</v>
      </c>
      <c r="AC1" s="6">
        <f t="shared" si="0"/>
        <v>46129</v>
      </c>
      <c r="AD1" s="6">
        <f t="shared" si="0"/>
        <v>46160</v>
      </c>
      <c r="AE1" s="6">
        <f t="shared" si="0"/>
        <v>46191</v>
      </c>
      <c r="AF1" s="6">
        <f t="shared" si="0"/>
        <v>46222</v>
      </c>
      <c r="AG1" s="6">
        <f t="shared" si="0"/>
        <v>46253</v>
      </c>
      <c r="AH1" s="6">
        <f t="shared" si="0"/>
        <v>46284</v>
      </c>
      <c r="AI1" s="6">
        <f t="shared" si="0"/>
        <v>46315</v>
      </c>
      <c r="AJ1" s="6">
        <f t="shared" si="0"/>
        <v>46346</v>
      </c>
      <c r="AK1" s="6">
        <f t="shared" si="0"/>
        <v>46377</v>
      </c>
      <c r="AL1" s="6">
        <f t="shared" si="0"/>
        <v>46408</v>
      </c>
      <c r="AM1" s="6">
        <f t="shared" si="0"/>
        <v>46439</v>
      </c>
      <c r="AN1" s="6">
        <f t="shared" si="0"/>
        <v>46470</v>
      </c>
      <c r="AO1" s="6">
        <f t="shared" si="0"/>
        <v>46501</v>
      </c>
      <c r="AP1" s="6">
        <f t="shared" si="0"/>
        <v>46532</v>
      </c>
      <c r="AQ1" s="6">
        <f t="shared" si="0"/>
        <v>46563</v>
      </c>
      <c r="AR1" s="6">
        <f t="shared" si="0"/>
        <v>46594</v>
      </c>
      <c r="AS1" s="6">
        <f t="shared" si="0"/>
        <v>46625</v>
      </c>
      <c r="AT1" s="6">
        <f t="shared" si="0"/>
        <v>46656</v>
      </c>
      <c r="AU1" s="6">
        <f t="shared" si="0"/>
        <v>46687</v>
      </c>
      <c r="AV1" s="6">
        <f t="shared" si="0"/>
        <v>46718</v>
      </c>
      <c r="AW1" s="6">
        <f t="shared" si="0"/>
        <v>46749</v>
      </c>
      <c r="AX1" s="6">
        <f t="shared" si="0"/>
        <v>46780</v>
      </c>
      <c r="AY1" s="6">
        <f t="shared" si="0"/>
        <v>46811</v>
      </c>
      <c r="AZ1" s="6">
        <f t="shared" si="0"/>
        <v>46842</v>
      </c>
      <c r="BA1" s="6">
        <f t="shared" si="0"/>
        <v>46873</v>
      </c>
      <c r="BB1" s="6">
        <f t="shared" si="0"/>
        <v>46904</v>
      </c>
      <c r="BC1" s="6">
        <f t="shared" si="0"/>
        <v>46935</v>
      </c>
      <c r="BD1" s="6">
        <f t="shared" si="0"/>
        <v>46966</v>
      </c>
      <c r="BE1" s="6">
        <f t="shared" si="0"/>
        <v>46997</v>
      </c>
      <c r="BF1" s="6">
        <f t="shared" si="0"/>
        <v>47028</v>
      </c>
      <c r="BG1" s="6">
        <f t="shared" si="0"/>
        <v>47059</v>
      </c>
      <c r="BH1" s="6">
        <f t="shared" si="0"/>
        <v>47090</v>
      </c>
      <c r="BI1" s="6">
        <f t="shared" si="0"/>
        <v>47121</v>
      </c>
      <c r="BJ1" s="6">
        <f t="shared" si="0"/>
        <v>47152</v>
      </c>
      <c r="BK1" s="6">
        <f t="shared" si="0"/>
        <v>47183</v>
      </c>
      <c r="BL1" s="6">
        <f t="shared" si="0"/>
        <v>47214</v>
      </c>
      <c r="BM1" s="6">
        <f t="shared" si="0"/>
        <v>47245</v>
      </c>
      <c r="BN1" s="6">
        <f t="shared" si="0"/>
        <v>47276</v>
      </c>
      <c r="BO1" s="6">
        <f t="shared" si="0"/>
        <v>47307</v>
      </c>
      <c r="BP1" s="6">
        <f t="shared" ref="BP1:CG1" si="1">BO1+31</f>
        <v>47338</v>
      </c>
      <c r="BQ1" s="6">
        <f t="shared" si="1"/>
        <v>47369</v>
      </c>
      <c r="BR1" s="6">
        <f t="shared" si="1"/>
        <v>47400</v>
      </c>
      <c r="BS1" s="6">
        <f t="shared" si="1"/>
        <v>47431</v>
      </c>
      <c r="BT1" s="6">
        <f t="shared" si="1"/>
        <v>47462</v>
      </c>
      <c r="BU1" s="6">
        <f t="shared" si="1"/>
        <v>47493</v>
      </c>
      <c r="BV1" s="6">
        <f t="shared" si="1"/>
        <v>47524</v>
      </c>
      <c r="BW1" s="6">
        <f t="shared" si="1"/>
        <v>47555</v>
      </c>
      <c r="BX1" s="6">
        <f t="shared" si="1"/>
        <v>47586</v>
      </c>
      <c r="BY1" s="6">
        <f t="shared" si="1"/>
        <v>47617</v>
      </c>
      <c r="BZ1" s="6">
        <f t="shared" si="1"/>
        <v>47648</v>
      </c>
      <c r="CA1" s="6">
        <f t="shared" si="1"/>
        <v>47679</v>
      </c>
      <c r="CB1" s="6">
        <f t="shared" si="1"/>
        <v>47710</v>
      </c>
      <c r="CC1" s="6">
        <f t="shared" si="1"/>
        <v>47741</v>
      </c>
      <c r="CD1" s="6">
        <f t="shared" si="1"/>
        <v>47772</v>
      </c>
      <c r="CE1" s="6">
        <f t="shared" si="1"/>
        <v>47803</v>
      </c>
      <c r="CF1" s="6">
        <f t="shared" si="1"/>
        <v>47834</v>
      </c>
      <c r="CG1" s="6">
        <f t="shared" si="1"/>
        <v>47865</v>
      </c>
    </row>
    <row r="2" spans="1:85" s="1" customFormat="1" x14ac:dyDescent="0.2">
      <c r="B2" s="2" t="str">
        <f t="shared" ref="B2:BM2" si="2">CONCATENATE("Month ", B3)</f>
        <v>Month 1</v>
      </c>
      <c r="C2" s="2" t="str">
        <f t="shared" si="2"/>
        <v>Month 2</v>
      </c>
      <c r="D2" s="2" t="str">
        <f t="shared" si="2"/>
        <v>Month 3</v>
      </c>
      <c r="E2" s="2" t="str">
        <f t="shared" si="2"/>
        <v>Month 4</v>
      </c>
      <c r="F2" s="2" t="str">
        <f t="shared" si="2"/>
        <v>Month 5</v>
      </c>
      <c r="G2" s="2" t="str">
        <f t="shared" si="2"/>
        <v>Month 6</v>
      </c>
      <c r="H2" s="2" t="str">
        <f t="shared" si="2"/>
        <v>Month 7</v>
      </c>
      <c r="I2" s="2" t="str">
        <f t="shared" si="2"/>
        <v>Month 8</v>
      </c>
      <c r="J2" s="2" t="str">
        <f t="shared" si="2"/>
        <v>Month 9</v>
      </c>
      <c r="K2" s="2" t="str">
        <f t="shared" si="2"/>
        <v>Month 10</v>
      </c>
      <c r="L2" s="2" t="str">
        <f t="shared" si="2"/>
        <v>Month 11</v>
      </c>
      <c r="M2" s="2" t="str">
        <f t="shared" si="2"/>
        <v>Month 12</v>
      </c>
      <c r="N2" s="2" t="str">
        <f t="shared" si="2"/>
        <v>Month 13</v>
      </c>
      <c r="O2" s="2" t="str">
        <f t="shared" si="2"/>
        <v>Month 14</v>
      </c>
      <c r="P2" s="2" t="str">
        <f t="shared" si="2"/>
        <v>Month 15</v>
      </c>
      <c r="Q2" s="2" t="str">
        <f t="shared" si="2"/>
        <v>Month 16</v>
      </c>
      <c r="R2" s="2" t="str">
        <f t="shared" si="2"/>
        <v>Month 17</v>
      </c>
      <c r="S2" s="2" t="str">
        <f t="shared" si="2"/>
        <v>Month 18</v>
      </c>
      <c r="T2" s="2" t="str">
        <f t="shared" si="2"/>
        <v>Month 19</v>
      </c>
      <c r="U2" s="2" t="str">
        <f t="shared" si="2"/>
        <v>Month 20</v>
      </c>
      <c r="V2" s="2" t="str">
        <f t="shared" si="2"/>
        <v>Month 21</v>
      </c>
      <c r="W2" s="2" t="str">
        <f t="shared" si="2"/>
        <v>Month 22</v>
      </c>
      <c r="X2" s="2" t="str">
        <f t="shared" si="2"/>
        <v>Month 23</v>
      </c>
      <c r="Y2" s="2" t="str">
        <f t="shared" si="2"/>
        <v>Month 24</v>
      </c>
      <c r="Z2" s="2" t="str">
        <f t="shared" si="2"/>
        <v>Month 25</v>
      </c>
      <c r="AA2" s="2" t="str">
        <f t="shared" si="2"/>
        <v>Month 26</v>
      </c>
      <c r="AB2" s="2" t="str">
        <f t="shared" si="2"/>
        <v>Month 27</v>
      </c>
      <c r="AC2" s="2" t="str">
        <f t="shared" si="2"/>
        <v>Month 28</v>
      </c>
      <c r="AD2" s="2" t="str">
        <f t="shared" si="2"/>
        <v>Month 29</v>
      </c>
      <c r="AE2" s="2" t="str">
        <f t="shared" si="2"/>
        <v>Month 30</v>
      </c>
      <c r="AF2" s="2" t="str">
        <f t="shared" si="2"/>
        <v>Month 31</v>
      </c>
      <c r="AG2" s="2" t="str">
        <f t="shared" si="2"/>
        <v>Month 32</v>
      </c>
      <c r="AH2" s="2" t="str">
        <f t="shared" si="2"/>
        <v>Month 33</v>
      </c>
      <c r="AI2" s="2" t="str">
        <f t="shared" si="2"/>
        <v>Month 34</v>
      </c>
      <c r="AJ2" s="2" t="str">
        <f t="shared" si="2"/>
        <v>Month 35</v>
      </c>
      <c r="AK2" s="2" t="str">
        <f t="shared" si="2"/>
        <v>Month 36</v>
      </c>
      <c r="AL2" s="2" t="str">
        <f t="shared" si="2"/>
        <v>Month 37</v>
      </c>
      <c r="AM2" s="2" t="str">
        <f t="shared" si="2"/>
        <v>Month 38</v>
      </c>
      <c r="AN2" s="2" t="str">
        <f t="shared" si="2"/>
        <v>Month 39</v>
      </c>
      <c r="AO2" s="2" t="str">
        <f t="shared" si="2"/>
        <v>Month 40</v>
      </c>
      <c r="AP2" s="2" t="str">
        <f t="shared" si="2"/>
        <v>Month 41</v>
      </c>
      <c r="AQ2" s="2" t="str">
        <f t="shared" si="2"/>
        <v>Month 42</v>
      </c>
      <c r="AR2" s="2" t="str">
        <f t="shared" si="2"/>
        <v>Month 43</v>
      </c>
      <c r="AS2" s="2" t="str">
        <f t="shared" si="2"/>
        <v>Month 44</v>
      </c>
      <c r="AT2" s="2" t="str">
        <f t="shared" si="2"/>
        <v>Month 45</v>
      </c>
      <c r="AU2" s="2" t="str">
        <f t="shared" si="2"/>
        <v>Month 46</v>
      </c>
      <c r="AV2" s="2" t="str">
        <f t="shared" si="2"/>
        <v>Month 47</v>
      </c>
      <c r="AW2" s="2" t="str">
        <f t="shared" si="2"/>
        <v>Month 48</v>
      </c>
      <c r="AX2" s="2" t="str">
        <f t="shared" si="2"/>
        <v>Month 49</v>
      </c>
      <c r="AY2" s="2" t="str">
        <f t="shared" si="2"/>
        <v>Month 50</v>
      </c>
      <c r="AZ2" s="2" t="str">
        <f t="shared" si="2"/>
        <v>Month 51</v>
      </c>
      <c r="BA2" s="2" t="str">
        <f t="shared" si="2"/>
        <v>Month 52</v>
      </c>
      <c r="BB2" s="2" t="str">
        <f t="shared" si="2"/>
        <v>Month 53</v>
      </c>
      <c r="BC2" s="2" t="str">
        <f t="shared" si="2"/>
        <v>Month 54</v>
      </c>
      <c r="BD2" s="2" t="str">
        <f t="shared" si="2"/>
        <v>Month 55</v>
      </c>
      <c r="BE2" s="2" t="str">
        <f t="shared" si="2"/>
        <v>Month 56</v>
      </c>
      <c r="BF2" s="2" t="str">
        <f t="shared" si="2"/>
        <v>Month 57</v>
      </c>
      <c r="BG2" s="2" t="str">
        <f t="shared" si="2"/>
        <v>Month 58</v>
      </c>
      <c r="BH2" s="2" t="str">
        <f t="shared" si="2"/>
        <v>Month 59</v>
      </c>
      <c r="BI2" s="2" t="str">
        <f t="shared" si="2"/>
        <v>Month 60</v>
      </c>
      <c r="BJ2" s="2" t="str">
        <f t="shared" si="2"/>
        <v>Month 61</v>
      </c>
      <c r="BK2" s="2" t="str">
        <f t="shared" si="2"/>
        <v>Month 62</v>
      </c>
      <c r="BL2" s="2" t="str">
        <f t="shared" si="2"/>
        <v>Month 63</v>
      </c>
      <c r="BM2" s="2" t="str">
        <f t="shared" si="2"/>
        <v>Month 64</v>
      </c>
      <c r="BN2" s="2" t="str">
        <f t="shared" ref="BN2:CG2" si="3">CONCATENATE("Month ", BN3)</f>
        <v>Month 65</v>
      </c>
      <c r="BO2" s="2" t="str">
        <f t="shared" si="3"/>
        <v>Month 66</v>
      </c>
      <c r="BP2" s="2" t="str">
        <f t="shared" si="3"/>
        <v>Month 67</v>
      </c>
      <c r="BQ2" s="2" t="str">
        <f t="shared" si="3"/>
        <v>Month 68</v>
      </c>
      <c r="BR2" s="2" t="str">
        <f t="shared" si="3"/>
        <v>Month 69</v>
      </c>
      <c r="BS2" s="2" t="str">
        <f t="shared" si="3"/>
        <v>Month 70</v>
      </c>
      <c r="BT2" s="2" t="str">
        <f t="shared" si="3"/>
        <v>Month 71</v>
      </c>
      <c r="BU2" s="2" t="str">
        <f t="shared" si="3"/>
        <v>Month 72</v>
      </c>
      <c r="BV2" s="2" t="str">
        <f t="shared" si="3"/>
        <v>Month 73</v>
      </c>
      <c r="BW2" s="2" t="str">
        <f t="shared" si="3"/>
        <v>Month 74</v>
      </c>
      <c r="BX2" s="2" t="str">
        <f t="shared" si="3"/>
        <v>Month 75</v>
      </c>
      <c r="BY2" s="2" t="str">
        <f t="shared" si="3"/>
        <v>Month 76</v>
      </c>
      <c r="BZ2" s="2" t="str">
        <f t="shared" si="3"/>
        <v>Month 77</v>
      </c>
      <c r="CA2" s="2" t="str">
        <f t="shared" si="3"/>
        <v>Month 78</v>
      </c>
      <c r="CB2" s="2" t="str">
        <f t="shared" si="3"/>
        <v>Month 79</v>
      </c>
      <c r="CC2" s="2" t="str">
        <f t="shared" si="3"/>
        <v>Month 80</v>
      </c>
      <c r="CD2" s="2" t="str">
        <f t="shared" si="3"/>
        <v>Month 81</v>
      </c>
      <c r="CE2" s="2" t="str">
        <f t="shared" si="3"/>
        <v>Month 82</v>
      </c>
      <c r="CF2" s="2" t="str">
        <f t="shared" si="3"/>
        <v>Month 83</v>
      </c>
      <c r="CG2" s="2" t="str">
        <f t="shared" si="3"/>
        <v>Month 84</v>
      </c>
    </row>
    <row r="3" spans="1:85" s="9" customFormat="1" hidden="1" x14ac:dyDescent="0.2"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>
        <v>32</v>
      </c>
      <c r="AH3" s="14">
        <v>33</v>
      </c>
      <c r="AI3" s="14">
        <v>34</v>
      </c>
      <c r="AJ3" s="14">
        <v>35</v>
      </c>
      <c r="AK3" s="14">
        <v>36</v>
      </c>
      <c r="AL3" s="14">
        <v>37</v>
      </c>
      <c r="AM3" s="14">
        <v>38</v>
      </c>
      <c r="AN3" s="14">
        <v>39</v>
      </c>
      <c r="AO3" s="14">
        <v>40</v>
      </c>
      <c r="AP3" s="14">
        <v>41</v>
      </c>
      <c r="AQ3" s="14">
        <v>42</v>
      </c>
      <c r="AR3" s="14">
        <v>43</v>
      </c>
      <c r="AS3" s="14">
        <v>44</v>
      </c>
      <c r="AT3" s="14">
        <v>45</v>
      </c>
      <c r="AU3" s="14">
        <v>46</v>
      </c>
      <c r="AV3" s="14">
        <v>47</v>
      </c>
      <c r="AW3" s="14">
        <v>48</v>
      </c>
      <c r="AX3" s="14">
        <v>49</v>
      </c>
      <c r="AY3" s="14">
        <v>50</v>
      </c>
      <c r="AZ3" s="14">
        <v>51</v>
      </c>
      <c r="BA3" s="14">
        <v>52</v>
      </c>
      <c r="BB3" s="14">
        <v>53</v>
      </c>
      <c r="BC3" s="14">
        <v>54</v>
      </c>
      <c r="BD3" s="14">
        <v>55</v>
      </c>
      <c r="BE3" s="14">
        <v>56</v>
      </c>
      <c r="BF3" s="14">
        <v>57</v>
      </c>
      <c r="BG3" s="14">
        <v>58</v>
      </c>
      <c r="BH3" s="14">
        <v>59</v>
      </c>
      <c r="BI3" s="14">
        <v>60</v>
      </c>
      <c r="BJ3" s="14">
        <v>61</v>
      </c>
      <c r="BK3" s="14">
        <v>62</v>
      </c>
      <c r="BL3" s="14">
        <v>63</v>
      </c>
      <c r="BM3" s="14">
        <v>64</v>
      </c>
      <c r="BN3" s="14">
        <v>65</v>
      </c>
      <c r="BO3" s="14">
        <v>66</v>
      </c>
      <c r="BP3" s="14">
        <v>67</v>
      </c>
      <c r="BQ3" s="14">
        <v>68</v>
      </c>
      <c r="BR3" s="14">
        <v>69</v>
      </c>
      <c r="BS3" s="14">
        <v>70</v>
      </c>
      <c r="BT3" s="14">
        <v>71</v>
      </c>
      <c r="BU3" s="14">
        <v>72</v>
      </c>
      <c r="BV3" s="14">
        <v>73</v>
      </c>
      <c r="BW3" s="14">
        <v>74</v>
      </c>
      <c r="BX3" s="14">
        <v>75</v>
      </c>
      <c r="BY3" s="14">
        <v>76</v>
      </c>
      <c r="BZ3" s="14">
        <v>77</v>
      </c>
      <c r="CA3" s="14">
        <v>78</v>
      </c>
      <c r="CB3" s="14">
        <v>79</v>
      </c>
      <c r="CC3" s="14">
        <v>80</v>
      </c>
      <c r="CD3" s="14">
        <v>81</v>
      </c>
      <c r="CE3" s="14">
        <v>82</v>
      </c>
      <c r="CF3" s="14">
        <v>83</v>
      </c>
      <c r="CG3" s="14">
        <v>84</v>
      </c>
    </row>
    <row r="4" spans="1:85" s="9" customFormat="1" x14ac:dyDescent="0.2">
      <c r="A4" s="9" t="s">
        <v>315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</row>
    <row r="5" spans="1:85" s="22" customFormat="1" x14ac:dyDescent="0.2">
      <c r="A5" s="22" t="s">
        <v>259</v>
      </c>
      <c r="B5" s="97">
        <v>10000</v>
      </c>
      <c r="C5" s="97">
        <v>25000</v>
      </c>
      <c r="D5" s="97">
        <v>25000</v>
      </c>
      <c r="E5" s="97">
        <v>25000</v>
      </c>
      <c r="F5" s="97">
        <v>25000</v>
      </c>
      <c r="G5" s="97">
        <v>25000</v>
      </c>
      <c r="H5" s="97">
        <v>50000</v>
      </c>
      <c r="I5" s="97">
        <v>50000</v>
      </c>
      <c r="J5" s="97">
        <v>50000</v>
      </c>
      <c r="K5" s="97">
        <v>50000</v>
      </c>
      <c r="L5" s="97">
        <v>50000</v>
      </c>
      <c r="M5" s="97">
        <v>50000</v>
      </c>
      <c r="N5" s="97">
        <v>50000</v>
      </c>
      <c r="O5" s="97">
        <v>50000</v>
      </c>
      <c r="P5" s="97">
        <v>50000</v>
      </c>
      <c r="Q5" s="97">
        <v>50000</v>
      </c>
      <c r="R5" s="97">
        <v>50000</v>
      </c>
      <c r="S5" s="97">
        <v>50000</v>
      </c>
      <c r="T5" s="97">
        <v>50000</v>
      </c>
      <c r="U5" s="97">
        <v>50000</v>
      </c>
      <c r="V5" s="97">
        <v>50000</v>
      </c>
      <c r="W5" s="97">
        <v>50000</v>
      </c>
      <c r="X5" s="97">
        <v>50000</v>
      </c>
      <c r="Y5" s="97">
        <v>50000</v>
      </c>
      <c r="Z5" s="97">
        <v>200000</v>
      </c>
      <c r="AA5" s="97">
        <v>200000</v>
      </c>
      <c r="AB5" s="97">
        <v>200000</v>
      </c>
      <c r="AC5" s="97">
        <v>200000</v>
      </c>
      <c r="AD5" s="97">
        <v>200000</v>
      </c>
      <c r="AE5" s="97">
        <v>200000</v>
      </c>
      <c r="AF5" s="97">
        <v>200000</v>
      </c>
      <c r="AG5" s="97">
        <v>200000</v>
      </c>
      <c r="AH5" s="97">
        <v>200000</v>
      </c>
      <c r="AI5" s="97">
        <v>200000</v>
      </c>
      <c r="AJ5" s="97">
        <v>200000</v>
      </c>
      <c r="AK5" s="97">
        <v>200000</v>
      </c>
      <c r="AL5" s="97">
        <v>200000</v>
      </c>
      <c r="AM5" s="97">
        <v>200000</v>
      </c>
      <c r="AN5" s="97">
        <v>200000</v>
      </c>
      <c r="AO5" s="97">
        <v>200000</v>
      </c>
      <c r="AP5" s="97">
        <v>200000</v>
      </c>
      <c r="AQ5" s="97">
        <v>200000</v>
      </c>
      <c r="AR5" s="97">
        <v>200000</v>
      </c>
      <c r="AS5" s="97">
        <v>200000</v>
      </c>
      <c r="AT5" s="97">
        <v>200000</v>
      </c>
      <c r="AU5" s="97">
        <v>200000</v>
      </c>
      <c r="AV5" s="97">
        <v>200000</v>
      </c>
      <c r="AW5" s="97">
        <v>200000</v>
      </c>
      <c r="AX5" s="97">
        <v>200000</v>
      </c>
      <c r="AY5" s="97">
        <v>200000</v>
      </c>
      <c r="AZ5" s="97">
        <v>200000</v>
      </c>
      <c r="BA5" s="97">
        <v>200000</v>
      </c>
      <c r="BB5" s="97">
        <v>200000</v>
      </c>
      <c r="BC5" s="97">
        <v>200000</v>
      </c>
      <c r="BD5" s="97">
        <v>200000</v>
      </c>
      <c r="BE5" s="97">
        <v>200000</v>
      </c>
      <c r="BF5" s="97">
        <v>200000</v>
      </c>
      <c r="BG5" s="97">
        <v>200000</v>
      </c>
      <c r="BH5" s="97">
        <v>200000</v>
      </c>
      <c r="BI5" s="97">
        <v>200000</v>
      </c>
      <c r="BJ5" s="97">
        <v>200000</v>
      </c>
      <c r="BK5" s="97">
        <v>200000</v>
      </c>
      <c r="BL5" s="97">
        <v>200000</v>
      </c>
      <c r="BM5" s="97">
        <v>200000</v>
      </c>
      <c r="BN5" s="97">
        <v>200000</v>
      </c>
      <c r="BO5" s="97">
        <v>200000</v>
      </c>
      <c r="BP5" s="97">
        <v>200000</v>
      </c>
      <c r="BQ5" s="97">
        <v>200000</v>
      </c>
      <c r="BR5" s="97">
        <v>200000</v>
      </c>
      <c r="BS5" s="97">
        <v>200000</v>
      </c>
      <c r="BT5" s="97">
        <v>200000</v>
      </c>
      <c r="BU5" s="97">
        <v>200000</v>
      </c>
      <c r="BV5" s="97">
        <v>200000</v>
      </c>
      <c r="BW5" s="97">
        <v>200000</v>
      </c>
      <c r="BX5" s="97">
        <v>200000</v>
      </c>
      <c r="BY5" s="97">
        <v>200000</v>
      </c>
      <c r="BZ5" s="97">
        <v>200000</v>
      </c>
      <c r="CA5" s="97">
        <v>200000</v>
      </c>
      <c r="CB5" s="97">
        <v>200000</v>
      </c>
      <c r="CC5" s="97">
        <v>200000</v>
      </c>
      <c r="CD5" s="97">
        <v>200000</v>
      </c>
      <c r="CE5" s="97">
        <v>200000</v>
      </c>
      <c r="CF5" s="97">
        <v>200000</v>
      </c>
      <c r="CG5" s="97">
        <v>200000</v>
      </c>
    </row>
    <row r="6" spans="1:85" s="22" customFormat="1" x14ac:dyDescent="0.2">
      <c r="A6" s="22" t="s">
        <v>244</v>
      </c>
      <c r="B6" s="97">
        <v>50</v>
      </c>
      <c r="C6" s="97">
        <v>50</v>
      </c>
      <c r="D6" s="97">
        <v>50</v>
      </c>
      <c r="E6" s="97">
        <v>50</v>
      </c>
      <c r="F6" s="97">
        <v>50</v>
      </c>
      <c r="G6" s="97">
        <v>50</v>
      </c>
      <c r="H6" s="97">
        <v>25</v>
      </c>
      <c r="I6" s="97">
        <v>25</v>
      </c>
      <c r="J6" s="97">
        <v>25</v>
      </c>
      <c r="K6" s="97">
        <v>25</v>
      </c>
      <c r="L6" s="97">
        <v>25</v>
      </c>
      <c r="M6" s="97">
        <v>25</v>
      </c>
      <c r="N6" s="97">
        <v>10</v>
      </c>
      <c r="O6" s="97">
        <v>10</v>
      </c>
      <c r="P6" s="97">
        <v>10</v>
      </c>
      <c r="Q6" s="97">
        <v>10</v>
      </c>
      <c r="R6" s="97">
        <v>10</v>
      </c>
      <c r="S6" s="97">
        <v>10</v>
      </c>
      <c r="T6" s="97">
        <v>10</v>
      </c>
      <c r="U6" s="97">
        <v>10</v>
      </c>
      <c r="V6" s="97">
        <v>10</v>
      </c>
      <c r="W6" s="97">
        <v>10</v>
      </c>
      <c r="X6" s="97">
        <v>10</v>
      </c>
      <c r="Y6" s="97">
        <v>10</v>
      </c>
      <c r="Z6" s="97">
        <v>5</v>
      </c>
      <c r="AA6" s="97">
        <v>5</v>
      </c>
      <c r="AB6" s="97">
        <v>5</v>
      </c>
      <c r="AC6" s="97">
        <v>5</v>
      </c>
      <c r="AD6" s="97">
        <v>5</v>
      </c>
      <c r="AE6" s="97">
        <v>5</v>
      </c>
      <c r="AF6" s="97">
        <v>5</v>
      </c>
      <c r="AG6" s="97">
        <v>5</v>
      </c>
      <c r="AH6" s="97">
        <v>5</v>
      </c>
      <c r="AI6" s="97">
        <v>5</v>
      </c>
      <c r="AJ6" s="97">
        <v>5</v>
      </c>
      <c r="AK6" s="97">
        <v>5</v>
      </c>
      <c r="AL6" s="97">
        <v>5</v>
      </c>
      <c r="AM6" s="97">
        <v>5</v>
      </c>
      <c r="AN6" s="97">
        <v>5</v>
      </c>
      <c r="AO6" s="97">
        <v>5</v>
      </c>
      <c r="AP6" s="97">
        <v>5</v>
      </c>
      <c r="AQ6" s="97">
        <v>5</v>
      </c>
      <c r="AR6" s="97">
        <v>5</v>
      </c>
      <c r="AS6" s="97">
        <v>5</v>
      </c>
      <c r="AT6" s="97">
        <v>5</v>
      </c>
      <c r="AU6" s="97">
        <v>5</v>
      </c>
      <c r="AV6" s="97">
        <v>5</v>
      </c>
      <c r="AW6" s="97">
        <v>5</v>
      </c>
      <c r="AX6" s="97">
        <v>5</v>
      </c>
      <c r="AY6" s="97">
        <v>5</v>
      </c>
      <c r="AZ6" s="97">
        <v>5</v>
      </c>
      <c r="BA6" s="97">
        <v>5</v>
      </c>
      <c r="BB6" s="97">
        <v>5</v>
      </c>
      <c r="BC6" s="97">
        <v>5</v>
      </c>
      <c r="BD6" s="97">
        <v>5</v>
      </c>
      <c r="BE6" s="97">
        <v>5</v>
      </c>
      <c r="BF6" s="97">
        <v>5</v>
      </c>
      <c r="BG6" s="97">
        <v>5</v>
      </c>
      <c r="BH6" s="97">
        <v>5</v>
      </c>
      <c r="BI6" s="97">
        <v>5</v>
      </c>
      <c r="BJ6" s="97">
        <v>5</v>
      </c>
      <c r="BK6" s="97">
        <v>5</v>
      </c>
      <c r="BL6" s="97">
        <v>5</v>
      </c>
      <c r="BM6" s="97">
        <v>5</v>
      </c>
      <c r="BN6" s="97">
        <v>5</v>
      </c>
      <c r="BO6" s="97">
        <v>5</v>
      </c>
      <c r="BP6" s="97">
        <v>5</v>
      </c>
      <c r="BQ6" s="97">
        <v>5</v>
      </c>
      <c r="BR6" s="97">
        <v>5</v>
      </c>
      <c r="BS6" s="97">
        <v>5</v>
      </c>
      <c r="BT6" s="97">
        <v>5</v>
      </c>
      <c r="BU6" s="97">
        <v>5</v>
      </c>
      <c r="BV6" s="97">
        <v>5</v>
      </c>
      <c r="BW6" s="97">
        <v>5</v>
      </c>
      <c r="BX6" s="97">
        <v>5</v>
      </c>
      <c r="BY6" s="97">
        <v>5</v>
      </c>
      <c r="BZ6" s="97">
        <v>5</v>
      </c>
      <c r="CA6" s="97">
        <v>5</v>
      </c>
      <c r="CB6" s="97">
        <v>5</v>
      </c>
      <c r="CC6" s="97">
        <v>5</v>
      </c>
      <c r="CD6" s="97">
        <v>5</v>
      </c>
      <c r="CE6" s="97">
        <v>5</v>
      </c>
      <c r="CF6" s="97">
        <v>5</v>
      </c>
      <c r="CG6" s="97">
        <v>5</v>
      </c>
    </row>
    <row r="7" spans="1:85" s="22" customFormat="1" x14ac:dyDescent="0.2">
      <c r="A7" s="22" t="s">
        <v>245</v>
      </c>
      <c r="B7" s="27">
        <f>B5/B6</f>
        <v>200</v>
      </c>
      <c r="C7" s="27">
        <f t="shared" ref="C7:BN7" si="4">C5/C6</f>
        <v>500</v>
      </c>
      <c r="D7" s="27">
        <f t="shared" si="4"/>
        <v>500</v>
      </c>
      <c r="E7" s="27">
        <f t="shared" si="4"/>
        <v>500</v>
      </c>
      <c r="F7" s="27">
        <f t="shared" si="4"/>
        <v>500</v>
      </c>
      <c r="G7" s="27">
        <f t="shared" si="4"/>
        <v>500</v>
      </c>
      <c r="H7" s="27">
        <f t="shared" si="4"/>
        <v>2000</v>
      </c>
      <c r="I7" s="27">
        <f t="shared" si="4"/>
        <v>2000</v>
      </c>
      <c r="J7" s="27">
        <f t="shared" si="4"/>
        <v>2000</v>
      </c>
      <c r="K7" s="27">
        <f t="shared" si="4"/>
        <v>2000</v>
      </c>
      <c r="L7" s="27">
        <f t="shared" si="4"/>
        <v>2000</v>
      </c>
      <c r="M7" s="27">
        <f t="shared" si="4"/>
        <v>2000</v>
      </c>
      <c r="N7" s="27">
        <f t="shared" si="4"/>
        <v>5000</v>
      </c>
      <c r="O7" s="27">
        <f t="shared" si="4"/>
        <v>5000</v>
      </c>
      <c r="P7" s="27">
        <f t="shared" si="4"/>
        <v>5000</v>
      </c>
      <c r="Q7" s="27">
        <f t="shared" si="4"/>
        <v>5000</v>
      </c>
      <c r="R7" s="27">
        <f t="shared" si="4"/>
        <v>5000</v>
      </c>
      <c r="S7" s="27">
        <f t="shared" si="4"/>
        <v>5000</v>
      </c>
      <c r="T7" s="27">
        <f t="shared" si="4"/>
        <v>5000</v>
      </c>
      <c r="U7" s="27">
        <f t="shared" si="4"/>
        <v>5000</v>
      </c>
      <c r="V7" s="27">
        <f t="shared" si="4"/>
        <v>5000</v>
      </c>
      <c r="W7" s="27">
        <f t="shared" si="4"/>
        <v>5000</v>
      </c>
      <c r="X7" s="27">
        <f t="shared" si="4"/>
        <v>5000</v>
      </c>
      <c r="Y7" s="27">
        <f t="shared" si="4"/>
        <v>5000</v>
      </c>
      <c r="Z7" s="27">
        <f t="shared" si="4"/>
        <v>40000</v>
      </c>
      <c r="AA7" s="27">
        <f t="shared" si="4"/>
        <v>40000</v>
      </c>
      <c r="AB7" s="27">
        <f t="shared" si="4"/>
        <v>40000</v>
      </c>
      <c r="AC7" s="27">
        <f t="shared" si="4"/>
        <v>40000</v>
      </c>
      <c r="AD7" s="27">
        <f t="shared" si="4"/>
        <v>40000</v>
      </c>
      <c r="AE7" s="27">
        <f t="shared" si="4"/>
        <v>40000</v>
      </c>
      <c r="AF7" s="27">
        <f t="shared" si="4"/>
        <v>40000</v>
      </c>
      <c r="AG7" s="27">
        <f t="shared" si="4"/>
        <v>40000</v>
      </c>
      <c r="AH7" s="27">
        <f t="shared" si="4"/>
        <v>40000</v>
      </c>
      <c r="AI7" s="27">
        <f t="shared" si="4"/>
        <v>40000</v>
      </c>
      <c r="AJ7" s="27">
        <f t="shared" si="4"/>
        <v>40000</v>
      </c>
      <c r="AK7" s="27">
        <f t="shared" si="4"/>
        <v>40000</v>
      </c>
      <c r="AL7" s="27">
        <f t="shared" si="4"/>
        <v>40000</v>
      </c>
      <c r="AM7" s="27">
        <f t="shared" si="4"/>
        <v>40000</v>
      </c>
      <c r="AN7" s="27">
        <f t="shared" si="4"/>
        <v>40000</v>
      </c>
      <c r="AO7" s="27">
        <f t="shared" si="4"/>
        <v>40000</v>
      </c>
      <c r="AP7" s="27">
        <f t="shared" si="4"/>
        <v>40000</v>
      </c>
      <c r="AQ7" s="27">
        <f t="shared" si="4"/>
        <v>40000</v>
      </c>
      <c r="AR7" s="27">
        <f t="shared" si="4"/>
        <v>40000</v>
      </c>
      <c r="AS7" s="27">
        <f t="shared" si="4"/>
        <v>40000</v>
      </c>
      <c r="AT7" s="27">
        <f t="shared" si="4"/>
        <v>40000</v>
      </c>
      <c r="AU7" s="27">
        <f t="shared" si="4"/>
        <v>40000</v>
      </c>
      <c r="AV7" s="27">
        <f t="shared" si="4"/>
        <v>40000</v>
      </c>
      <c r="AW7" s="27">
        <f t="shared" si="4"/>
        <v>40000</v>
      </c>
      <c r="AX7" s="27">
        <f t="shared" si="4"/>
        <v>40000</v>
      </c>
      <c r="AY7" s="27">
        <f t="shared" si="4"/>
        <v>40000</v>
      </c>
      <c r="AZ7" s="27">
        <f t="shared" si="4"/>
        <v>40000</v>
      </c>
      <c r="BA7" s="27">
        <f t="shared" si="4"/>
        <v>40000</v>
      </c>
      <c r="BB7" s="27">
        <f t="shared" si="4"/>
        <v>40000</v>
      </c>
      <c r="BC7" s="27">
        <f t="shared" si="4"/>
        <v>40000</v>
      </c>
      <c r="BD7" s="27">
        <f t="shared" si="4"/>
        <v>40000</v>
      </c>
      <c r="BE7" s="27">
        <f t="shared" si="4"/>
        <v>40000</v>
      </c>
      <c r="BF7" s="27">
        <f t="shared" si="4"/>
        <v>40000</v>
      </c>
      <c r="BG7" s="27">
        <f t="shared" si="4"/>
        <v>40000</v>
      </c>
      <c r="BH7" s="27">
        <f t="shared" si="4"/>
        <v>40000</v>
      </c>
      <c r="BI7" s="27">
        <f t="shared" si="4"/>
        <v>40000</v>
      </c>
      <c r="BJ7" s="27">
        <f t="shared" si="4"/>
        <v>40000</v>
      </c>
      <c r="BK7" s="27">
        <f t="shared" si="4"/>
        <v>40000</v>
      </c>
      <c r="BL7" s="27">
        <f t="shared" si="4"/>
        <v>40000</v>
      </c>
      <c r="BM7" s="27">
        <f t="shared" si="4"/>
        <v>40000</v>
      </c>
      <c r="BN7" s="27">
        <f t="shared" si="4"/>
        <v>40000</v>
      </c>
      <c r="BO7" s="27">
        <f t="shared" ref="BO7:CG7" si="5">BO5/BO6</f>
        <v>40000</v>
      </c>
      <c r="BP7" s="27">
        <f t="shared" si="5"/>
        <v>40000</v>
      </c>
      <c r="BQ7" s="27">
        <f t="shared" si="5"/>
        <v>40000</v>
      </c>
      <c r="BR7" s="27">
        <f t="shared" si="5"/>
        <v>40000</v>
      </c>
      <c r="BS7" s="27">
        <f t="shared" si="5"/>
        <v>40000</v>
      </c>
      <c r="BT7" s="27">
        <f t="shared" si="5"/>
        <v>40000</v>
      </c>
      <c r="BU7" s="27">
        <f t="shared" si="5"/>
        <v>40000</v>
      </c>
      <c r="BV7" s="27">
        <f t="shared" si="5"/>
        <v>40000</v>
      </c>
      <c r="BW7" s="27">
        <f t="shared" si="5"/>
        <v>40000</v>
      </c>
      <c r="BX7" s="27">
        <f t="shared" si="5"/>
        <v>40000</v>
      </c>
      <c r="BY7" s="27">
        <f t="shared" si="5"/>
        <v>40000</v>
      </c>
      <c r="BZ7" s="27">
        <f t="shared" si="5"/>
        <v>40000</v>
      </c>
      <c r="CA7" s="27">
        <f t="shared" si="5"/>
        <v>40000</v>
      </c>
      <c r="CB7" s="27">
        <f t="shared" si="5"/>
        <v>40000</v>
      </c>
      <c r="CC7" s="27">
        <f t="shared" si="5"/>
        <v>40000</v>
      </c>
      <c r="CD7" s="27">
        <f t="shared" si="5"/>
        <v>40000</v>
      </c>
      <c r="CE7" s="27">
        <f t="shared" si="5"/>
        <v>40000</v>
      </c>
      <c r="CF7" s="27">
        <f t="shared" si="5"/>
        <v>40000</v>
      </c>
      <c r="CG7" s="27">
        <f t="shared" si="5"/>
        <v>40000</v>
      </c>
    </row>
    <row r="8" spans="1:85" s="22" customFormat="1" x14ac:dyDescent="0.2">
      <c r="A8" s="22" t="s">
        <v>246</v>
      </c>
      <c r="B8" s="98">
        <v>5</v>
      </c>
      <c r="C8" s="98">
        <v>5</v>
      </c>
      <c r="D8" s="98">
        <v>5</v>
      </c>
      <c r="E8" s="98">
        <v>5</v>
      </c>
      <c r="F8" s="98">
        <v>5</v>
      </c>
      <c r="G8" s="98">
        <v>5</v>
      </c>
      <c r="H8" s="98">
        <v>5</v>
      </c>
      <c r="I8" s="98">
        <v>5</v>
      </c>
      <c r="J8" s="98">
        <v>5</v>
      </c>
      <c r="K8" s="98">
        <v>5</v>
      </c>
      <c r="L8" s="98">
        <v>5</v>
      </c>
      <c r="M8" s="98">
        <v>5</v>
      </c>
      <c r="N8" s="98">
        <v>10</v>
      </c>
      <c r="O8" s="98">
        <v>10</v>
      </c>
      <c r="P8" s="98">
        <v>10</v>
      </c>
      <c r="Q8" s="98">
        <v>10</v>
      </c>
      <c r="R8" s="98">
        <v>10</v>
      </c>
      <c r="S8" s="98">
        <v>10</v>
      </c>
      <c r="T8" s="98">
        <v>10</v>
      </c>
      <c r="U8" s="98">
        <v>10</v>
      </c>
      <c r="V8" s="98">
        <v>10</v>
      </c>
      <c r="W8" s="98">
        <v>10</v>
      </c>
      <c r="X8" s="98">
        <v>10</v>
      </c>
      <c r="Y8" s="98">
        <v>10</v>
      </c>
      <c r="Z8" s="98">
        <v>10</v>
      </c>
      <c r="AA8" s="98">
        <v>10</v>
      </c>
      <c r="AB8" s="98">
        <v>10</v>
      </c>
      <c r="AC8" s="98">
        <v>10</v>
      </c>
      <c r="AD8" s="98">
        <v>10</v>
      </c>
      <c r="AE8" s="98">
        <v>10</v>
      </c>
      <c r="AF8" s="98">
        <v>10</v>
      </c>
      <c r="AG8" s="98">
        <v>10</v>
      </c>
      <c r="AH8" s="98">
        <v>10</v>
      </c>
      <c r="AI8" s="98">
        <v>10</v>
      </c>
      <c r="AJ8" s="98">
        <v>10</v>
      </c>
      <c r="AK8" s="98">
        <v>10</v>
      </c>
      <c r="AL8" s="98">
        <v>10</v>
      </c>
      <c r="AM8" s="98">
        <v>10</v>
      </c>
      <c r="AN8" s="98">
        <v>10</v>
      </c>
      <c r="AO8" s="98">
        <v>10</v>
      </c>
      <c r="AP8" s="98">
        <v>10</v>
      </c>
      <c r="AQ8" s="98">
        <v>10</v>
      </c>
      <c r="AR8" s="98">
        <v>10</v>
      </c>
      <c r="AS8" s="98">
        <v>10</v>
      </c>
      <c r="AT8" s="98">
        <v>10</v>
      </c>
      <c r="AU8" s="98">
        <v>10</v>
      </c>
      <c r="AV8" s="98">
        <v>10</v>
      </c>
      <c r="AW8" s="98">
        <v>10</v>
      </c>
      <c r="AX8" s="98">
        <v>10</v>
      </c>
      <c r="AY8" s="98">
        <v>10</v>
      </c>
      <c r="AZ8" s="98">
        <v>10</v>
      </c>
      <c r="BA8" s="98">
        <v>10</v>
      </c>
      <c r="BB8" s="98">
        <v>10</v>
      </c>
      <c r="BC8" s="98">
        <v>10</v>
      </c>
      <c r="BD8" s="98">
        <v>10</v>
      </c>
      <c r="BE8" s="98">
        <v>10</v>
      </c>
      <c r="BF8" s="98">
        <v>10</v>
      </c>
      <c r="BG8" s="98">
        <v>10</v>
      </c>
      <c r="BH8" s="98">
        <v>10</v>
      </c>
      <c r="BI8" s="98">
        <v>10</v>
      </c>
      <c r="BJ8" s="98">
        <v>10</v>
      </c>
      <c r="BK8" s="98">
        <v>10</v>
      </c>
      <c r="BL8" s="98">
        <v>10</v>
      </c>
      <c r="BM8" s="98">
        <v>10</v>
      </c>
      <c r="BN8" s="98">
        <v>10</v>
      </c>
      <c r="BO8" s="98">
        <v>10</v>
      </c>
      <c r="BP8" s="98">
        <v>10</v>
      </c>
      <c r="BQ8" s="98">
        <v>10</v>
      </c>
      <c r="BR8" s="98">
        <v>10</v>
      </c>
      <c r="BS8" s="98">
        <v>10</v>
      </c>
      <c r="BT8" s="98">
        <v>10</v>
      </c>
      <c r="BU8" s="98">
        <v>10</v>
      </c>
      <c r="BV8" s="98">
        <v>10</v>
      </c>
      <c r="BW8" s="98">
        <v>10</v>
      </c>
      <c r="BX8" s="98">
        <v>10</v>
      </c>
      <c r="BY8" s="98">
        <v>10</v>
      </c>
      <c r="BZ8" s="98">
        <v>10</v>
      </c>
      <c r="CA8" s="98">
        <v>10</v>
      </c>
      <c r="CB8" s="98">
        <v>10</v>
      </c>
      <c r="CC8" s="98">
        <v>10</v>
      </c>
      <c r="CD8" s="98">
        <v>10</v>
      </c>
      <c r="CE8" s="98">
        <v>10</v>
      </c>
      <c r="CF8" s="98">
        <v>10</v>
      </c>
      <c r="CG8" s="98">
        <v>10</v>
      </c>
    </row>
    <row r="9" spans="1:85" s="22" customFormat="1" x14ac:dyDescent="0.2">
      <c r="A9" s="22" t="s">
        <v>247</v>
      </c>
      <c r="B9" s="27">
        <f>B7*B8</f>
        <v>1000</v>
      </c>
      <c r="C9" s="27">
        <f t="shared" ref="C9:BN9" si="6">C7*C8</f>
        <v>2500</v>
      </c>
      <c r="D9" s="27">
        <f t="shared" si="6"/>
        <v>2500</v>
      </c>
      <c r="E9" s="27">
        <f t="shared" si="6"/>
        <v>2500</v>
      </c>
      <c r="F9" s="27">
        <f t="shared" si="6"/>
        <v>2500</v>
      </c>
      <c r="G9" s="27">
        <f t="shared" si="6"/>
        <v>2500</v>
      </c>
      <c r="H9" s="27">
        <f t="shared" si="6"/>
        <v>10000</v>
      </c>
      <c r="I9" s="27">
        <f t="shared" si="6"/>
        <v>10000</v>
      </c>
      <c r="J9" s="27">
        <f t="shared" si="6"/>
        <v>10000</v>
      </c>
      <c r="K9" s="27">
        <f t="shared" si="6"/>
        <v>10000</v>
      </c>
      <c r="L9" s="27">
        <f t="shared" si="6"/>
        <v>10000</v>
      </c>
      <c r="M9" s="27">
        <f t="shared" si="6"/>
        <v>10000</v>
      </c>
      <c r="N9" s="27">
        <f t="shared" si="6"/>
        <v>50000</v>
      </c>
      <c r="O9" s="27">
        <f t="shared" si="6"/>
        <v>50000</v>
      </c>
      <c r="P9" s="27">
        <f t="shared" si="6"/>
        <v>50000</v>
      </c>
      <c r="Q9" s="27">
        <f t="shared" si="6"/>
        <v>50000</v>
      </c>
      <c r="R9" s="27">
        <f t="shared" si="6"/>
        <v>50000</v>
      </c>
      <c r="S9" s="27">
        <f t="shared" si="6"/>
        <v>50000</v>
      </c>
      <c r="T9" s="27">
        <f t="shared" si="6"/>
        <v>50000</v>
      </c>
      <c r="U9" s="27">
        <f t="shared" si="6"/>
        <v>50000</v>
      </c>
      <c r="V9" s="27">
        <f t="shared" si="6"/>
        <v>50000</v>
      </c>
      <c r="W9" s="27">
        <f t="shared" si="6"/>
        <v>50000</v>
      </c>
      <c r="X9" s="27">
        <f t="shared" si="6"/>
        <v>50000</v>
      </c>
      <c r="Y9" s="27">
        <f t="shared" si="6"/>
        <v>50000</v>
      </c>
      <c r="Z9" s="27">
        <f t="shared" si="6"/>
        <v>400000</v>
      </c>
      <c r="AA9" s="27">
        <f t="shared" si="6"/>
        <v>400000</v>
      </c>
      <c r="AB9" s="27">
        <f t="shared" si="6"/>
        <v>400000</v>
      </c>
      <c r="AC9" s="27">
        <f t="shared" si="6"/>
        <v>400000</v>
      </c>
      <c r="AD9" s="27">
        <f t="shared" si="6"/>
        <v>400000</v>
      </c>
      <c r="AE9" s="27">
        <f t="shared" si="6"/>
        <v>400000</v>
      </c>
      <c r="AF9" s="27">
        <f t="shared" si="6"/>
        <v>400000</v>
      </c>
      <c r="AG9" s="27">
        <f t="shared" si="6"/>
        <v>400000</v>
      </c>
      <c r="AH9" s="27">
        <f t="shared" si="6"/>
        <v>400000</v>
      </c>
      <c r="AI9" s="27">
        <f t="shared" si="6"/>
        <v>400000</v>
      </c>
      <c r="AJ9" s="27">
        <f t="shared" si="6"/>
        <v>400000</v>
      </c>
      <c r="AK9" s="27">
        <f t="shared" si="6"/>
        <v>400000</v>
      </c>
      <c r="AL9" s="27">
        <f t="shared" si="6"/>
        <v>400000</v>
      </c>
      <c r="AM9" s="27">
        <f t="shared" si="6"/>
        <v>400000</v>
      </c>
      <c r="AN9" s="27">
        <f t="shared" si="6"/>
        <v>400000</v>
      </c>
      <c r="AO9" s="27">
        <f t="shared" si="6"/>
        <v>400000</v>
      </c>
      <c r="AP9" s="27">
        <f t="shared" si="6"/>
        <v>400000</v>
      </c>
      <c r="AQ9" s="27">
        <f t="shared" si="6"/>
        <v>400000</v>
      </c>
      <c r="AR9" s="27">
        <f t="shared" si="6"/>
        <v>400000</v>
      </c>
      <c r="AS9" s="27">
        <f t="shared" si="6"/>
        <v>400000</v>
      </c>
      <c r="AT9" s="27">
        <f t="shared" si="6"/>
        <v>400000</v>
      </c>
      <c r="AU9" s="27">
        <f t="shared" si="6"/>
        <v>400000</v>
      </c>
      <c r="AV9" s="27">
        <f t="shared" si="6"/>
        <v>400000</v>
      </c>
      <c r="AW9" s="27">
        <f t="shared" si="6"/>
        <v>400000</v>
      </c>
      <c r="AX9" s="27">
        <f t="shared" si="6"/>
        <v>400000</v>
      </c>
      <c r="AY9" s="27">
        <f t="shared" si="6"/>
        <v>400000</v>
      </c>
      <c r="AZ9" s="27">
        <f t="shared" si="6"/>
        <v>400000</v>
      </c>
      <c r="BA9" s="27">
        <f t="shared" si="6"/>
        <v>400000</v>
      </c>
      <c r="BB9" s="27">
        <f t="shared" si="6"/>
        <v>400000</v>
      </c>
      <c r="BC9" s="27">
        <f t="shared" si="6"/>
        <v>400000</v>
      </c>
      <c r="BD9" s="27">
        <f t="shared" si="6"/>
        <v>400000</v>
      </c>
      <c r="BE9" s="27">
        <f t="shared" si="6"/>
        <v>400000</v>
      </c>
      <c r="BF9" s="27">
        <f t="shared" si="6"/>
        <v>400000</v>
      </c>
      <c r="BG9" s="27">
        <f t="shared" si="6"/>
        <v>400000</v>
      </c>
      <c r="BH9" s="27">
        <f t="shared" si="6"/>
        <v>400000</v>
      </c>
      <c r="BI9" s="27">
        <f t="shared" si="6"/>
        <v>400000</v>
      </c>
      <c r="BJ9" s="27">
        <f t="shared" si="6"/>
        <v>400000</v>
      </c>
      <c r="BK9" s="27">
        <f t="shared" si="6"/>
        <v>400000</v>
      </c>
      <c r="BL9" s="27">
        <f t="shared" si="6"/>
        <v>400000</v>
      </c>
      <c r="BM9" s="27">
        <f t="shared" si="6"/>
        <v>400000</v>
      </c>
      <c r="BN9" s="27">
        <f t="shared" si="6"/>
        <v>400000</v>
      </c>
      <c r="BO9" s="27">
        <f t="shared" ref="BO9:CG9" si="7">BO7*BO8</f>
        <v>400000</v>
      </c>
      <c r="BP9" s="27">
        <f t="shared" si="7"/>
        <v>400000</v>
      </c>
      <c r="BQ9" s="27">
        <f t="shared" si="7"/>
        <v>400000</v>
      </c>
      <c r="BR9" s="27">
        <f t="shared" si="7"/>
        <v>400000</v>
      </c>
      <c r="BS9" s="27">
        <f t="shared" si="7"/>
        <v>400000</v>
      </c>
      <c r="BT9" s="27">
        <f t="shared" si="7"/>
        <v>400000</v>
      </c>
      <c r="BU9" s="27">
        <f t="shared" si="7"/>
        <v>400000</v>
      </c>
      <c r="BV9" s="27">
        <f t="shared" si="7"/>
        <v>400000</v>
      </c>
      <c r="BW9" s="27">
        <f t="shared" si="7"/>
        <v>400000</v>
      </c>
      <c r="BX9" s="27">
        <f t="shared" si="7"/>
        <v>400000</v>
      </c>
      <c r="BY9" s="27">
        <f t="shared" si="7"/>
        <v>400000</v>
      </c>
      <c r="BZ9" s="27">
        <f t="shared" si="7"/>
        <v>400000</v>
      </c>
      <c r="CA9" s="27">
        <f t="shared" si="7"/>
        <v>400000</v>
      </c>
      <c r="CB9" s="27">
        <f t="shared" si="7"/>
        <v>400000</v>
      </c>
      <c r="CC9" s="27">
        <f t="shared" si="7"/>
        <v>400000</v>
      </c>
      <c r="CD9" s="27">
        <f t="shared" si="7"/>
        <v>400000</v>
      </c>
      <c r="CE9" s="27">
        <f t="shared" si="7"/>
        <v>400000</v>
      </c>
      <c r="CF9" s="27">
        <f t="shared" si="7"/>
        <v>400000</v>
      </c>
      <c r="CG9" s="27">
        <f t="shared" si="7"/>
        <v>400000</v>
      </c>
    </row>
    <row r="10" spans="1:85" s="22" customFormat="1" x14ac:dyDescent="0.2">
      <c r="A10" s="22" t="s">
        <v>248</v>
      </c>
      <c r="B10" s="27">
        <f>B7+B9</f>
        <v>1200</v>
      </c>
      <c r="C10" s="27">
        <f t="shared" ref="C10:BN10" si="8">C7+C9</f>
        <v>3000</v>
      </c>
      <c r="D10" s="27">
        <f t="shared" si="8"/>
        <v>3000</v>
      </c>
      <c r="E10" s="27">
        <f t="shared" si="8"/>
        <v>3000</v>
      </c>
      <c r="F10" s="27">
        <f t="shared" si="8"/>
        <v>3000</v>
      </c>
      <c r="G10" s="27">
        <f t="shared" si="8"/>
        <v>3000</v>
      </c>
      <c r="H10" s="27">
        <f t="shared" si="8"/>
        <v>12000</v>
      </c>
      <c r="I10" s="27">
        <f t="shared" si="8"/>
        <v>12000</v>
      </c>
      <c r="J10" s="27">
        <f t="shared" si="8"/>
        <v>12000</v>
      </c>
      <c r="K10" s="27">
        <f t="shared" si="8"/>
        <v>12000</v>
      </c>
      <c r="L10" s="27">
        <f t="shared" si="8"/>
        <v>12000</v>
      </c>
      <c r="M10" s="27">
        <f t="shared" si="8"/>
        <v>12000</v>
      </c>
      <c r="N10" s="27">
        <f t="shared" si="8"/>
        <v>55000</v>
      </c>
      <c r="O10" s="27">
        <f t="shared" si="8"/>
        <v>55000</v>
      </c>
      <c r="P10" s="27">
        <f t="shared" si="8"/>
        <v>55000</v>
      </c>
      <c r="Q10" s="27">
        <f t="shared" si="8"/>
        <v>55000</v>
      </c>
      <c r="R10" s="27">
        <f t="shared" si="8"/>
        <v>55000</v>
      </c>
      <c r="S10" s="27">
        <f t="shared" si="8"/>
        <v>55000</v>
      </c>
      <c r="T10" s="27">
        <f t="shared" si="8"/>
        <v>55000</v>
      </c>
      <c r="U10" s="27">
        <f t="shared" si="8"/>
        <v>55000</v>
      </c>
      <c r="V10" s="27">
        <f t="shared" si="8"/>
        <v>55000</v>
      </c>
      <c r="W10" s="27">
        <f t="shared" si="8"/>
        <v>55000</v>
      </c>
      <c r="X10" s="27">
        <f t="shared" si="8"/>
        <v>55000</v>
      </c>
      <c r="Y10" s="27">
        <f t="shared" si="8"/>
        <v>55000</v>
      </c>
      <c r="Z10" s="27">
        <f t="shared" si="8"/>
        <v>440000</v>
      </c>
      <c r="AA10" s="27">
        <f t="shared" si="8"/>
        <v>440000</v>
      </c>
      <c r="AB10" s="27">
        <f t="shared" si="8"/>
        <v>440000</v>
      </c>
      <c r="AC10" s="27">
        <f t="shared" si="8"/>
        <v>440000</v>
      </c>
      <c r="AD10" s="27">
        <f t="shared" si="8"/>
        <v>440000</v>
      </c>
      <c r="AE10" s="27">
        <f t="shared" si="8"/>
        <v>440000</v>
      </c>
      <c r="AF10" s="27">
        <f t="shared" si="8"/>
        <v>440000</v>
      </c>
      <c r="AG10" s="27">
        <f t="shared" si="8"/>
        <v>440000</v>
      </c>
      <c r="AH10" s="27">
        <f t="shared" si="8"/>
        <v>440000</v>
      </c>
      <c r="AI10" s="27">
        <f t="shared" si="8"/>
        <v>440000</v>
      </c>
      <c r="AJ10" s="27">
        <f t="shared" si="8"/>
        <v>440000</v>
      </c>
      <c r="AK10" s="27">
        <f t="shared" si="8"/>
        <v>440000</v>
      </c>
      <c r="AL10" s="27">
        <f t="shared" si="8"/>
        <v>440000</v>
      </c>
      <c r="AM10" s="27">
        <f t="shared" si="8"/>
        <v>440000</v>
      </c>
      <c r="AN10" s="27">
        <f t="shared" si="8"/>
        <v>440000</v>
      </c>
      <c r="AO10" s="27">
        <f t="shared" si="8"/>
        <v>440000</v>
      </c>
      <c r="AP10" s="27">
        <f t="shared" si="8"/>
        <v>440000</v>
      </c>
      <c r="AQ10" s="27">
        <f t="shared" si="8"/>
        <v>440000</v>
      </c>
      <c r="AR10" s="27">
        <f t="shared" si="8"/>
        <v>440000</v>
      </c>
      <c r="AS10" s="27">
        <f t="shared" si="8"/>
        <v>440000</v>
      </c>
      <c r="AT10" s="27">
        <f t="shared" si="8"/>
        <v>440000</v>
      </c>
      <c r="AU10" s="27">
        <f t="shared" si="8"/>
        <v>440000</v>
      </c>
      <c r="AV10" s="27">
        <f t="shared" si="8"/>
        <v>440000</v>
      </c>
      <c r="AW10" s="27">
        <f t="shared" si="8"/>
        <v>440000</v>
      </c>
      <c r="AX10" s="27">
        <f t="shared" si="8"/>
        <v>440000</v>
      </c>
      <c r="AY10" s="27">
        <f t="shared" si="8"/>
        <v>440000</v>
      </c>
      <c r="AZ10" s="27">
        <f t="shared" si="8"/>
        <v>440000</v>
      </c>
      <c r="BA10" s="27">
        <f t="shared" si="8"/>
        <v>440000</v>
      </c>
      <c r="BB10" s="27">
        <f t="shared" si="8"/>
        <v>440000</v>
      </c>
      <c r="BC10" s="27">
        <f t="shared" si="8"/>
        <v>440000</v>
      </c>
      <c r="BD10" s="27">
        <f t="shared" si="8"/>
        <v>440000</v>
      </c>
      <c r="BE10" s="27">
        <f t="shared" si="8"/>
        <v>440000</v>
      </c>
      <c r="BF10" s="27">
        <f t="shared" si="8"/>
        <v>440000</v>
      </c>
      <c r="BG10" s="27">
        <f t="shared" si="8"/>
        <v>440000</v>
      </c>
      <c r="BH10" s="27">
        <f t="shared" si="8"/>
        <v>440000</v>
      </c>
      <c r="BI10" s="27">
        <f t="shared" si="8"/>
        <v>440000</v>
      </c>
      <c r="BJ10" s="27">
        <f t="shared" si="8"/>
        <v>440000</v>
      </c>
      <c r="BK10" s="27">
        <f t="shared" si="8"/>
        <v>440000</v>
      </c>
      <c r="BL10" s="27">
        <f t="shared" si="8"/>
        <v>440000</v>
      </c>
      <c r="BM10" s="27">
        <f t="shared" si="8"/>
        <v>440000</v>
      </c>
      <c r="BN10" s="27">
        <f t="shared" si="8"/>
        <v>440000</v>
      </c>
      <c r="BO10" s="27">
        <f t="shared" ref="BO10:CG10" si="9">BO7+BO9</f>
        <v>440000</v>
      </c>
      <c r="BP10" s="27">
        <f t="shared" si="9"/>
        <v>440000</v>
      </c>
      <c r="BQ10" s="27">
        <f t="shared" si="9"/>
        <v>440000</v>
      </c>
      <c r="BR10" s="27">
        <f t="shared" si="9"/>
        <v>440000</v>
      </c>
      <c r="BS10" s="27">
        <f t="shared" si="9"/>
        <v>440000</v>
      </c>
      <c r="BT10" s="27">
        <f t="shared" si="9"/>
        <v>440000</v>
      </c>
      <c r="BU10" s="27">
        <f t="shared" si="9"/>
        <v>440000</v>
      </c>
      <c r="BV10" s="27">
        <f t="shared" si="9"/>
        <v>440000</v>
      </c>
      <c r="BW10" s="27">
        <f t="shared" si="9"/>
        <v>440000</v>
      </c>
      <c r="BX10" s="27">
        <f t="shared" si="9"/>
        <v>440000</v>
      </c>
      <c r="BY10" s="27">
        <f t="shared" si="9"/>
        <v>440000</v>
      </c>
      <c r="BZ10" s="27">
        <f t="shared" si="9"/>
        <v>440000</v>
      </c>
      <c r="CA10" s="27">
        <f t="shared" si="9"/>
        <v>440000</v>
      </c>
      <c r="CB10" s="27">
        <f t="shared" si="9"/>
        <v>440000</v>
      </c>
      <c r="CC10" s="27">
        <f t="shared" si="9"/>
        <v>440000</v>
      </c>
      <c r="CD10" s="27">
        <f t="shared" si="9"/>
        <v>440000</v>
      </c>
      <c r="CE10" s="27">
        <f t="shared" si="9"/>
        <v>440000</v>
      </c>
      <c r="CF10" s="27">
        <f t="shared" si="9"/>
        <v>440000</v>
      </c>
      <c r="CG10" s="27">
        <f t="shared" si="9"/>
        <v>440000</v>
      </c>
    </row>
    <row r="11" spans="1:85" s="22" customFormat="1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</row>
    <row r="12" spans="1:85" s="22" customFormat="1" x14ac:dyDescent="0.2">
      <c r="A12" s="22" t="s">
        <v>249</v>
      </c>
      <c r="B12" s="99">
        <v>0.05</v>
      </c>
      <c r="C12" s="99">
        <v>0.05</v>
      </c>
      <c r="D12" s="99">
        <v>0.05</v>
      </c>
      <c r="E12" s="99">
        <v>0.05</v>
      </c>
      <c r="F12" s="99">
        <v>0.05</v>
      </c>
      <c r="G12" s="99">
        <v>0.05</v>
      </c>
      <c r="H12" s="99">
        <v>0.05</v>
      </c>
      <c r="I12" s="99">
        <v>0.05</v>
      </c>
      <c r="J12" s="99">
        <v>0.05</v>
      </c>
      <c r="K12" s="99">
        <v>0.05</v>
      </c>
      <c r="L12" s="99">
        <v>0.05</v>
      </c>
      <c r="M12" s="99">
        <v>0.05</v>
      </c>
      <c r="N12" s="99">
        <v>0.05</v>
      </c>
      <c r="O12" s="99">
        <v>0.05</v>
      </c>
      <c r="P12" s="99">
        <v>0.05</v>
      </c>
      <c r="Q12" s="99">
        <v>0.05</v>
      </c>
      <c r="R12" s="99">
        <v>0.05</v>
      </c>
      <c r="S12" s="99">
        <v>0.05</v>
      </c>
      <c r="T12" s="99">
        <v>0.05</v>
      </c>
      <c r="U12" s="99">
        <v>0.05</v>
      </c>
      <c r="V12" s="99">
        <v>0.05</v>
      </c>
      <c r="W12" s="99">
        <v>0.05</v>
      </c>
      <c r="X12" s="99">
        <v>0.05</v>
      </c>
      <c r="Y12" s="99">
        <v>0.05</v>
      </c>
      <c r="Z12" s="99">
        <v>0.05</v>
      </c>
      <c r="AA12" s="99">
        <v>0.05</v>
      </c>
      <c r="AB12" s="99">
        <v>0.05</v>
      </c>
      <c r="AC12" s="99">
        <v>0.05</v>
      </c>
      <c r="AD12" s="99">
        <v>0.05</v>
      </c>
      <c r="AE12" s="99">
        <v>0.05</v>
      </c>
      <c r="AF12" s="99">
        <v>0.05</v>
      </c>
      <c r="AG12" s="99">
        <v>0.05</v>
      </c>
      <c r="AH12" s="99">
        <v>0.05</v>
      </c>
      <c r="AI12" s="99">
        <v>0.05</v>
      </c>
      <c r="AJ12" s="99">
        <v>0.05</v>
      </c>
      <c r="AK12" s="99">
        <v>0.05</v>
      </c>
      <c r="AL12" s="99">
        <v>0.05</v>
      </c>
      <c r="AM12" s="99">
        <v>0.05</v>
      </c>
      <c r="AN12" s="99">
        <v>0.05</v>
      </c>
      <c r="AO12" s="99">
        <v>0.05</v>
      </c>
      <c r="AP12" s="99">
        <v>0.05</v>
      </c>
      <c r="AQ12" s="99">
        <v>0.05</v>
      </c>
      <c r="AR12" s="99">
        <v>0.05</v>
      </c>
      <c r="AS12" s="99">
        <v>0.05</v>
      </c>
      <c r="AT12" s="99">
        <v>0.05</v>
      </c>
      <c r="AU12" s="99">
        <v>0.05</v>
      </c>
      <c r="AV12" s="99">
        <v>0.05</v>
      </c>
      <c r="AW12" s="99">
        <v>0.05</v>
      </c>
      <c r="AX12" s="99">
        <v>0.05</v>
      </c>
      <c r="AY12" s="99">
        <v>0.05</v>
      </c>
      <c r="AZ12" s="99">
        <v>0.05</v>
      </c>
      <c r="BA12" s="99">
        <v>0.05</v>
      </c>
      <c r="BB12" s="99">
        <v>0.05</v>
      </c>
      <c r="BC12" s="99">
        <v>0.05</v>
      </c>
      <c r="BD12" s="99">
        <v>0.05</v>
      </c>
      <c r="BE12" s="99">
        <v>0.05</v>
      </c>
      <c r="BF12" s="99">
        <v>0.05</v>
      </c>
      <c r="BG12" s="99">
        <v>0.05</v>
      </c>
      <c r="BH12" s="99">
        <v>0.05</v>
      </c>
      <c r="BI12" s="99">
        <v>0.05</v>
      </c>
      <c r="BJ12" s="99">
        <v>0.05</v>
      </c>
      <c r="BK12" s="99">
        <v>0.05</v>
      </c>
      <c r="BL12" s="99">
        <v>0.05</v>
      </c>
      <c r="BM12" s="99">
        <v>0.05</v>
      </c>
      <c r="BN12" s="99">
        <v>0.05</v>
      </c>
      <c r="BO12" s="99">
        <v>0.05</v>
      </c>
      <c r="BP12" s="99">
        <v>0.05</v>
      </c>
      <c r="BQ12" s="99">
        <v>0.05</v>
      </c>
      <c r="BR12" s="99">
        <v>0.05</v>
      </c>
      <c r="BS12" s="99">
        <v>0.05</v>
      </c>
      <c r="BT12" s="99">
        <v>0.05</v>
      </c>
      <c r="BU12" s="99">
        <v>0.05</v>
      </c>
      <c r="BV12" s="99">
        <v>0.05</v>
      </c>
      <c r="BW12" s="99">
        <v>0.05</v>
      </c>
      <c r="BX12" s="99">
        <v>0.05</v>
      </c>
      <c r="BY12" s="99">
        <v>0.05</v>
      </c>
      <c r="BZ12" s="99">
        <v>0.05</v>
      </c>
      <c r="CA12" s="99">
        <v>0.05</v>
      </c>
      <c r="CB12" s="99">
        <v>0.05</v>
      </c>
      <c r="CC12" s="99">
        <v>0.05</v>
      </c>
      <c r="CD12" s="99">
        <v>0.05</v>
      </c>
      <c r="CE12" s="99">
        <v>0.05</v>
      </c>
      <c r="CF12" s="99">
        <v>0.05</v>
      </c>
      <c r="CG12" s="99">
        <v>0.05</v>
      </c>
    </row>
    <row r="13" spans="1:85" s="22" customFormat="1" x14ac:dyDescent="0.2">
      <c r="A13" s="22" t="s">
        <v>250</v>
      </c>
      <c r="B13" s="27">
        <f>B10*B12</f>
        <v>60</v>
      </c>
      <c r="C13" s="27">
        <f t="shared" ref="C13:BN13" si="10">C10*C12</f>
        <v>150</v>
      </c>
      <c r="D13" s="27">
        <f t="shared" si="10"/>
        <v>150</v>
      </c>
      <c r="E13" s="27">
        <f t="shared" si="10"/>
        <v>150</v>
      </c>
      <c r="F13" s="27">
        <f t="shared" si="10"/>
        <v>150</v>
      </c>
      <c r="G13" s="27">
        <f t="shared" si="10"/>
        <v>150</v>
      </c>
      <c r="H13" s="27">
        <f t="shared" si="10"/>
        <v>600</v>
      </c>
      <c r="I13" s="27">
        <f t="shared" si="10"/>
        <v>600</v>
      </c>
      <c r="J13" s="27">
        <f t="shared" si="10"/>
        <v>600</v>
      </c>
      <c r="K13" s="27">
        <f t="shared" si="10"/>
        <v>600</v>
      </c>
      <c r="L13" s="27">
        <f t="shared" si="10"/>
        <v>600</v>
      </c>
      <c r="M13" s="27">
        <f t="shared" si="10"/>
        <v>600</v>
      </c>
      <c r="N13" s="27">
        <f t="shared" si="10"/>
        <v>2750</v>
      </c>
      <c r="O13" s="27">
        <f t="shared" si="10"/>
        <v>2750</v>
      </c>
      <c r="P13" s="27">
        <f t="shared" si="10"/>
        <v>2750</v>
      </c>
      <c r="Q13" s="27">
        <f t="shared" si="10"/>
        <v>2750</v>
      </c>
      <c r="R13" s="27">
        <f t="shared" si="10"/>
        <v>2750</v>
      </c>
      <c r="S13" s="27">
        <f t="shared" si="10"/>
        <v>2750</v>
      </c>
      <c r="T13" s="27">
        <f t="shared" si="10"/>
        <v>2750</v>
      </c>
      <c r="U13" s="27">
        <f t="shared" si="10"/>
        <v>2750</v>
      </c>
      <c r="V13" s="27">
        <f t="shared" si="10"/>
        <v>2750</v>
      </c>
      <c r="W13" s="27">
        <f t="shared" si="10"/>
        <v>2750</v>
      </c>
      <c r="X13" s="27">
        <f t="shared" si="10"/>
        <v>2750</v>
      </c>
      <c r="Y13" s="27">
        <f t="shared" si="10"/>
        <v>2750</v>
      </c>
      <c r="Z13" s="27">
        <f t="shared" si="10"/>
        <v>22000</v>
      </c>
      <c r="AA13" s="27">
        <f t="shared" si="10"/>
        <v>22000</v>
      </c>
      <c r="AB13" s="27">
        <f t="shared" si="10"/>
        <v>22000</v>
      </c>
      <c r="AC13" s="27">
        <f t="shared" si="10"/>
        <v>22000</v>
      </c>
      <c r="AD13" s="27">
        <f t="shared" si="10"/>
        <v>22000</v>
      </c>
      <c r="AE13" s="27">
        <f t="shared" si="10"/>
        <v>22000</v>
      </c>
      <c r="AF13" s="27">
        <f t="shared" si="10"/>
        <v>22000</v>
      </c>
      <c r="AG13" s="27">
        <f t="shared" si="10"/>
        <v>22000</v>
      </c>
      <c r="AH13" s="27">
        <f t="shared" si="10"/>
        <v>22000</v>
      </c>
      <c r="AI13" s="27">
        <f t="shared" si="10"/>
        <v>22000</v>
      </c>
      <c r="AJ13" s="27">
        <f t="shared" si="10"/>
        <v>22000</v>
      </c>
      <c r="AK13" s="27">
        <f t="shared" si="10"/>
        <v>22000</v>
      </c>
      <c r="AL13" s="27">
        <f t="shared" si="10"/>
        <v>22000</v>
      </c>
      <c r="AM13" s="27">
        <f t="shared" si="10"/>
        <v>22000</v>
      </c>
      <c r="AN13" s="27">
        <f t="shared" si="10"/>
        <v>22000</v>
      </c>
      <c r="AO13" s="27">
        <f t="shared" si="10"/>
        <v>22000</v>
      </c>
      <c r="AP13" s="27">
        <f t="shared" si="10"/>
        <v>22000</v>
      </c>
      <c r="AQ13" s="27">
        <f t="shared" si="10"/>
        <v>22000</v>
      </c>
      <c r="AR13" s="27">
        <f t="shared" si="10"/>
        <v>22000</v>
      </c>
      <c r="AS13" s="27">
        <f t="shared" si="10"/>
        <v>22000</v>
      </c>
      <c r="AT13" s="27">
        <f t="shared" si="10"/>
        <v>22000</v>
      </c>
      <c r="AU13" s="27">
        <f t="shared" si="10"/>
        <v>22000</v>
      </c>
      <c r="AV13" s="27">
        <f t="shared" si="10"/>
        <v>22000</v>
      </c>
      <c r="AW13" s="27">
        <f t="shared" si="10"/>
        <v>22000</v>
      </c>
      <c r="AX13" s="27">
        <f t="shared" si="10"/>
        <v>22000</v>
      </c>
      <c r="AY13" s="27">
        <f t="shared" si="10"/>
        <v>22000</v>
      </c>
      <c r="AZ13" s="27">
        <f t="shared" si="10"/>
        <v>22000</v>
      </c>
      <c r="BA13" s="27">
        <f t="shared" si="10"/>
        <v>22000</v>
      </c>
      <c r="BB13" s="27">
        <f t="shared" si="10"/>
        <v>22000</v>
      </c>
      <c r="BC13" s="27">
        <f t="shared" si="10"/>
        <v>22000</v>
      </c>
      <c r="BD13" s="27">
        <f t="shared" si="10"/>
        <v>22000</v>
      </c>
      <c r="BE13" s="27">
        <f t="shared" si="10"/>
        <v>22000</v>
      </c>
      <c r="BF13" s="27">
        <f t="shared" si="10"/>
        <v>22000</v>
      </c>
      <c r="BG13" s="27">
        <f t="shared" si="10"/>
        <v>22000</v>
      </c>
      <c r="BH13" s="27">
        <f t="shared" si="10"/>
        <v>22000</v>
      </c>
      <c r="BI13" s="27">
        <f t="shared" si="10"/>
        <v>22000</v>
      </c>
      <c r="BJ13" s="27">
        <f t="shared" si="10"/>
        <v>22000</v>
      </c>
      <c r="BK13" s="27">
        <f t="shared" si="10"/>
        <v>22000</v>
      </c>
      <c r="BL13" s="27">
        <f t="shared" si="10"/>
        <v>22000</v>
      </c>
      <c r="BM13" s="27">
        <f t="shared" si="10"/>
        <v>22000</v>
      </c>
      <c r="BN13" s="27">
        <f t="shared" si="10"/>
        <v>22000</v>
      </c>
      <c r="BO13" s="27">
        <f t="shared" ref="BO13:CG13" si="11">BO10*BO12</f>
        <v>22000</v>
      </c>
      <c r="BP13" s="27">
        <f t="shared" si="11"/>
        <v>22000</v>
      </c>
      <c r="BQ13" s="27">
        <f t="shared" si="11"/>
        <v>22000</v>
      </c>
      <c r="BR13" s="27">
        <f t="shared" si="11"/>
        <v>22000</v>
      </c>
      <c r="BS13" s="27">
        <f t="shared" si="11"/>
        <v>22000</v>
      </c>
      <c r="BT13" s="27">
        <f t="shared" si="11"/>
        <v>22000</v>
      </c>
      <c r="BU13" s="27">
        <f t="shared" si="11"/>
        <v>22000</v>
      </c>
      <c r="BV13" s="27">
        <f t="shared" si="11"/>
        <v>22000</v>
      </c>
      <c r="BW13" s="27">
        <f t="shared" si="11"/>
        <v>22000</v>
      </c>
      <c r="BX13" s="27">
        <f t="shared" si="11"/>
        <v>22000</v>
      </c>
      <c r="BY13" s="27">
        <f t="shared" si="11"/>
        <v>22000</v>
      </c>
      <c r="BZ13" s="27">
        <f t="shared" si="11"/>
        <v>22000</v>
      </c>
      <c r="CA13" s="27">
        <f t="shared" si="11"/>
        <v>22000</v>
      </c>
      <c r="CB13" s="27">
        <f t="shared" si="11"/>
        <v>22000</v>
      </c>
      <c r="CC13" s="27">
        <f t="shared" si="11"/>
        <v>22000</v>
      </c>
      <c r="CD13" s="27">
        <f t="shared" si="11"/>
        <v>22000</v>
      </c>
      <c r="CE13" s="27">
        <f t="shared" si="11"/>
        <v>22000</v>
      </c>
      <c r="CF13" s="27">
        <f t="shared" si="11"/>
        <v>22000</v>
      </c>
      <c r="CG13" s="27">
        <f t="shared" si="11"/>
        <v>22000</v>
      </c>
    </row>
    <row r="14" spans="1:85" s="22" customFormat="1" x14ac:dyDescent="0.2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</row>
    <row r="15" spans="1:85" s="22" customFormat="1" x14ac:dyDescent="0.2">
      <c r="A15" s="22" t="s">
        <v>260</v>
      </c>
      <c r="B15" s="27">
        <f>B10-B13</f>
        <v>1140</v>
      </c>
      <c r="C15" s="27">
        <f>B15+C10-C13</f>
        <v>3990</v>
      </c>
      <c r="D15" s="27">
        <f t="shared" ref="D15:BO15" si="12">C15+D10-D13</f>
        <v>6840</v>
      </c>
      <c r="E15" s="27">
        <f t="shared" si="12"/>
        <v>9690</v>
      </c>
      <c r="F15" s="27">
        <f t="shared" si="12"/>
        <v>12540</v>
      </c>
      <c r="G15" s="27">
        <f t="shared" si="12"/>
        <v>15390</v>
      </c>
      <c r="H15" s="27">
        <f t="shared" si="12"/>
        <v>26790</v>
      </c>
      <c r="I15" s="27">
        <f t="shared" si="12"/>
        <v>38190</v>
      </c>
      <c r="J15" s="27">
        <f t="shared" si="12"/>
        <v>49590</v>
      </c>
      <c r="K15" s="27">
        <f t="shared" si="12"/>
        <v>60990</v>
      </c>
      <c r="L15" s="27">
        <f t="shared" si="12"/>
        <v>72390</v>
      </c>
      <c r="M15" s="27">
        <f t="shared" si="12"/>
        <v>83790</v>
      </c>
      <c r="N15" s="27">
        <f t="shared" si="12"/>
        <v>136040</v>
      </c>
      <c r="O15" s="27">
        <f t="shared" si="12"/>
        <v>188290</v>
      </c>
      <c r="P15" s="27">
        <f t="shared" si="12"/>
        <v>240540</v>
      </c>
      <c r="Q15" s="27">
        <f t="shared" si="12"/>
        <v>292790</v>
      </c>
      <c r="R15" s="27">
        <f t="shared" si="12"/>
        <v>345040</v>
      </c>
      <c r="S15" s="27">
        <f t="shared" si="12"/>
        <v>397290</v>
      </c>
      <c r="T15" s="27">
        <f t="shared" si="12"/>
        <v>449540</v>
      </c>
      <c r="U15" s="27">
        <f t="shared" si="12"/>
        <v>501790</v>
      </c>
      <c r="V15" s="27">
        <f t="shared" si="12"/>
        <v>554040</v>
      </c>
      <c r="W15" s="27">
        <f t="shared" si="12"/>
        <v>606290</v>
      </c>
      <c r="X15" s="27">
        <f t="shared" si="12"/>
        <v>658540</v>
      </c>
      <c r="Y15" s="27">
        <f t="shared" si="12"/>
        <v>710790</v>
      </c>
      <c r="Z15" s="27">
        <f t="shared" si="12"/>
        <v>1128790</v>
      </c>
      <c r="AA15" s="27">
        <f t="shared" si="12"/>
        <v>1546790</v>
      </c>
      <c r="AB15" s="27">
        <f t="shared" si="12"/>
        <v>1964790</v>
      </c>
      <c r="AC15" s="27">
        <f t="shared" si="12"/>
        <v>2382790</v>
      </c>
      <c r="AD15" s="27">
        <f t="shared" si="12"/>
        <v>2800790</v>
      </c>
      <c r="AE15" s="27">
        <f t="shared" si="12"/>
        <v>3218790</v>
      </c>
      <c r="AF15" s="27">
        <f t="shared" si="12"/>
        <v>3636790</v>
      </c>
      <c r="AG15" s="27">
        <f t="shared" si="12"/>
        <v>4054790</v>
      </c>
      <c r="AH15" s="27">
        <f t="shared" si="12"/>
        <v>4472790</v>
      </c>
      <c r="AI15" s="27">
        <f t="shared" si="12"/>
        <v>4890790</v>
      </c>
      <c r="AJ15" s="27">
        <f t="shared" si="12"/>
        <v>5308790</v>
      </c>
      <c r="AK15" s="27">
        <f t="shared" si="12"/>
        <v>5726790</v>
      </c>
      <c r="AL15" s="27">
        <f t="shared" si="12"/>
        <v>6144790</v>
      </c>
      <c r="AM15" s="27">
        <f t="shared" si="12"/>
        <v>6562790</v>
      </c>
      <c r="AN15" s="27">
        <f t="shared" si="12"/>
        <v>6980790</v>
      </c>
      <c r="AO15" s="27">
        <f t="shared" si="12"/>
        <v>7398790</v>
      </c>
      <c r="AP15" s="27">
        <f t="shared" si="12"/>
        <v>7816790</v>
      </c>
      <c r="AQ15" s="27">
        <f t="shared" si="12"/>
        <v>8234790</v>
      </c>
      <c r="AR15" s="27">
        <f t="shared" si="12"/>
        <v>8652790</v>
      </c>
      <c r="AS15" s="27">
        <f t="shared" si="12"/>
        <v>9070790</v>
      </c>
      <c r="AT15" s="27">
        <f t="shared" si="12"/>
        <v>9488790</v>
      </c>
      <c r="AU15" s="27">
        <f t="shared" si="12"/>
        <v>9906790</v>
      </c>
      <c r="AV15" s="27">
        <f t="shared" si="12"/>
        <v>10324790</v>
      </c>
      <c r="AW15" s="27">
        <f t="shared" si="12"/>
        <v>10742790</v>
      </c>
      <c r="AX15" s="27">
        <f t="shared" si="12"/>
        <v>11160790</v>
      </c>
      <c r="AY15" s="27">
        <f t="shared" si="12"/>
        <v>11578790</v>
      </c>
      <c r="AZ15" s="27">
        <f t="shared" si="12"/>
        <v>11996790</v>
      </c>
      <c r="BA15" s="27">
        <f t="shared" si="12"/>
        <v>12414790</v>
      </c>
      <c r="BB15" s="27">
        <f t="shared" si="12"/>
        <v>12832790</v>
      </c>
      <c r="BC15" s="27">
        <f t="shared" si="12"/>
        <v>13250790</v>
      </c>
      <c r="BD15" s="27">
        <f t="shared" si="12"/>
        <v>13668790</v>
      </c>
      <c r="BE15" s="27">
        <f t="shared" si="12"/>
        <v>14086790</v>
      </c>
      <c r="BF15" s="27">
        <f t="shared" si="12"/>
        <v>14504790</v>
      </c>
      <c r="BG15" s="27">
        <f t="shared" si="12"/>
        <v>14922790</v>
      </c>
      <c r="BH15" s="27">
        <f t="shared" si="12"/>
        <v>15340790</v>
      </c>
      <c r="BI15" s="27">
        <f t="shared" si="12"/>
        <v>15758790</v>
      </c>
      <c r="BJ15" s="27">
        <f t="shared" si="12"/>
        <v>16176790</v>
      </c>
      <c r="BK15" s="27">
        <f t="shared" si="12"/>
        <v>16594790</v>
      </c>
      <c r="BL15" s="27">
        <f t="shared" si="12"/>
        <v>17012790</v>
      </c>
      <c r="BM15" s="27">
        <f t="shared" si="12"/>
        <v>17430790</v>
      </c>
      <c r="BN15" s="27">
        <f t="shared" si="12"/>
        <v>17848790</v>
      </c>
      <c r="BO15" s="27">
        <f t="shared" si="12"/>
        <v>18266790</v>
      </c>
      <c r="BP15" s="27">
        <f t="shared" ref="BP15:CG15" si="13">BO15+BP10-BP13</f>
        <v>18684790</v>
      </c>
      <c r="BQ15" s="27">
        <f t="shared" si="13"/>
        <v>19102790</v>
      </c>
      <c r="BR15" s="27">
        <f t="shared" si="13"/>
        <v>19520790</v>
      </c>
      <c r="BS15" s="27">
        <f t="shared" si="13"/>
        <v>19938790</v>
      </c>
      <c r="BT15" s="27">
        <f t="shared" si="13"/>
        <v>20356790</v>
      </c>
      <c r="BU15" s="27">
        <f t="shared" si="13"/>
        <v>20774790</v>
      </c>
      <c r="BV15" s="27">
        <f t="shared" si="13"/>
        <v>21192790</v>
      </c>
      <c r="BW15" s="27">
        <f t="shared" si="13"/>
        <v>21610790</v>
      </c>
      <c r="BX15" s="27">
        <f t="shared" si="13"/>
        <v>22028790</v>
      </c>
      <c r="BY15" s="27">
        <f t="shared" si="13"/>
        <v>22446790</v>
      </c>
      <c r="BZ15" s="27">
        <f t="shared" si="13"/>
        <v>22864790</v>
      </c>
      <c r="CA15" s="27">
        <f t="shared" si="13"/>
        <v>23282790</v>
      </c>
      <c r="CB15" s="27">
        <f t="shared" si="13"/>
        <v>23700790</v>
      </c>
      <c r="CC15" s="27">
        <f t="shared" si="13"/>
        <v>24118790</v>
      </c>
      <c r="CD15" s="27">
        <f t="shared" si="13"/>
        <v>24536790</v>
      </c>
      <c r="CE15" s="27">
        <f t="shared" si="13"/>
        <v>24954790</v>
      </c>
      <c r="CF15" s="27">
        <f t="shared" si="13"/>
        <v>25372790</v>
      </c>
      <c r="CG15" s="27">
        <f t="shared" si="13"/>
        <v>25790790</v>
      </c>
    </row>
    <row r="16" spans="1:85" s="22" customFormat="1" x14ac:dyDescent="0.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</row>
    <row r="17" spans="1:85" s="22" customFormat="1" x14ac:dyDescent="0.2">
      <c r="A17" s="22" t="s">
        <v>251</v>
      </c>
      <c r="B17" s="100">
        <v>20</v>
      </c>
      <c r="C17" s="100">
        <v>20</v>
      </c>
      <c r="D17" s="100">
        <v>20</v>
      </c>
      <c r="E17" s="100">
        <v>20</v>
      </c>
      <c r="F17" s="100">
        <v>20</v>
      </c>
      <c r="G17" s="100">
        <v>20</v>
      </c>
      <c r="H17" s="100">
        <v>20</v>
      </c>
      <c r="I17" s="100">
        <v>20</v>
      </c>
      <c r="J17" s="100">
        <v>20</v>
      </c>
      <c r="K17" s="100">
        <v>20</v>
      </c>
      <c r="L17" s="100">
        <v>20</v>
      </c>
      <c r="M17" s="100">
        <v>20</v>
      </c>
      <c r="N17" s="100">
        <v>20</v>
      </c>
      <c r="O17" s="100">
        <v>20</v>
      </c>
      <c r="P17" s="100">
        <v>20</v>
      </c>
      <c r="Q17" s="100">
        <v>20</v>
      </c>
      <c r="R17" s="100">
        <v>20</v>
      </c>
      <c r="S17" s="100">
        <v>20</v>
      </c>
      <c r="T17" s="100">
        <v>20</v>
      </c>
      <c r="U17" s="100">
        <v>20</v>
      </c>
      <c r="V17" s="100">
        <v>20</v>
      </c>
      <c r="W17" s="100">
        <v>20</v>
      </c>
      <c r="X17" s="100">
        <v>20</v>
      </c>
      <c r="Y17" s="100">
        <v>20</v>
      </c>
      <c r="Z17" s="100">
        <v>25</v>
      </c>
      <c r="AA17" s="100">
        <v>25</v>
      </c>
      <c r="AB17" s="100">
        <v>25</v>
      </c>
      <c r="AC17" s="100">
        <v>25</v>
      </c>
      <c r="AD17" s="100">
        <v>25</v>
      </c>
      <c r="AE17" s="100">
        <v>25</v>
      </c>
      <c r="AF17" s="100">
        <v>25</v>
      </c>
      <c r="AG17" s="100">
        <v>25</v>
      </c>
      <c r="AH17" s="100">
        <v>25</v>
      </c>
      <c r="AI17" s="100">
        <v>25</v>
      </c>
      <c r="AJ17" s="100">
        <v>25</v>
      </c>
      <c r="AK17" s="100">
        <v>25</v>
      </c>
      <c r="AL17" s="100">
        <v>25</v>
      </c>
      <c r="AM17" s="100">
        <v>25</v>
      </c>
      <c r="AN17" s="100">
        <v>25</v>
      </c>
      <c r="AO17" s="100">
        <v>25</v>
      </c>
      <c r="AP17" s="100">
        <v>25</v>
      </c>
      <c r="AQ17" s="100">
        <v>25</v>
      </c>
      <c r="AR17" s="100">
        <v>25</v>
      </c>
      <c r="AS17" s="100">
        <v>25</v>
      </c>
      <c r="AT17" s="100">
        <v>25</v>
      </c>
      <c r="AU17" s="100">
        <v>25</v>
      </c>
      <c r="AV17" s="100">
        <v>25</v>
      </c>
      <c r="AW17" s="100">
        <v>25</v>
      </c>
      <c r="AX17" s="100">
        <v>25</v>
      </c>
      <c r="AY17" s="100">
        <v>25</v>
      </c>
      <c r="AZ17" s="100">
        <v>25</v>
      </c>
      <c r="BA17" s="100">
        <v>25</v>
      </c>
      <c r="BB17" s="100">
        <v>25</v>
      </c>
      <c r="BC17" s="100">
        <v>25</v>
      </c>
      <c r="BD17" s="100">
        <v>25</v>
      </c>
      <c r="BE17" s="100">
        <v>25</v>
      </c>
      <c r="BF17" s="100">
        <v>25</v>
      </c>
      <c r="BG17" s="100">
        <v>25</v>
      </c>
      <c r="BH17" s="100">
        <v>25</v>
      </c>
      <c r="BI17" s="100">
        <v>25</v>
      </c>
      <c r="BJ17" s="100">
        <v>25</v>
      </c>
      <c r="BK17" s="100">
        <v>25</v>
      </c>
      <c r="BL17" s="100">
        <v>25</v>
      </c>
      <c r="BM17" s="100">
        <v>25</v>
      </c>
      <c r="BN17" s="100">
        <v>25</v>
      </c>
      <c r="BO17" s="100">
        <v>25</v>
      </c>
      <c r="BP17" s="100">
        <v>25</v>
      </c>
      <c r="BQ17" s="100">
        <v>25</v>
      </c>
      <c r="BR17" s="100">
        <v>25</v>
      </c>
      <c r="BS17" s="100">
        <v>25</v>
      </c>
      <c r="BT17" s="100">
        <v>25</v>
      </c>
      <c r="BU17" s="100">
        <v>25</v>
      </c>
      <c r="BV17" s="100">
        <v>25</v>
      </c>
      <c r="BW17" s="100">
        <v>25</v>
      </c>
      <c r="BX17" s="100">
        <v>25</v>
      </c>
      <c r="BY17" s="100">
        <v>25</v>
      </c>
      <c r="BZ17" s="100">
        <v>25</v>
      </c>
      <c r="CA17" s="100">
        <v>25</v>
      </c>
      <c r="CB17" s="100">
        <v>25</v>
      </c>
      <c r="CC17" s="100">
        <v>25</v>
      </c>
      <c r="CD17" s="100">
        <v>25</v>
      </c>
      <c r="CE17" s="100">
        <v>25</v>
      </c>
      <c r="CF17" s="100">
        <v>25</v>
      </c>
      <c r="CG17" s="100">
        <v>25</v>
      </c>
    </row>
    <row r="18" spans="1:85" s="22" customFormat="1" x14ac:dyDescent="0.2">
      <c r="A18" s="22" t="s">
        <v>252</v>
      </c>
      <c r="B18" s="100">
        <v>5</v>
      </c>
      <c r="C18" s="100">
        <v>5</v>
      </c>
      <c r="D18" s="100">
        <v>5</v>
      </c>
      <c r="E18" s="100">
        <v>5</v>
      </c>
      <c r="F18" s="100">
        <v>5</v>
      </c>
      <c r="G18" s="100">
        <v>5</v>
      </c>
      <c r="H18" s="100">
        <v>5</v>
      </c>
      <c r="I18" s="100">
        <v>5</v>
      </c>
      <c r="J18" s="100">
        <v>5</v>
      </c>
      <c r="K18" s="100">
        <v>5</v>
      </c>
      <c r="L18" s="100">
        <v>5</v>
      </c>
      <c r="M18" s="100">
        <v>5</v>
      </c>
      <c r="N18" s="100">
        <v>10</v>
      </c>
      <c r="O18" s="100">
        <v>10</v>
      </c>
      <c r="P18" s="100">
        <v>10</v>
      </c>
      <c r="Q18" s="100">
        <v>10</v>
      </c>
      <c r="R18" s="100">
        <v>10</v>
      </c>
      <c r="S18" s="100">
        <v>10</v>
      </c>
      <c r="T18" s="100">
        <v>10</v>
      </c>
      <c r="U18" s="100">
        <v>10</v>
      </c>
      <c r="V18" s="100">
        <v>10</v>
      </c>
      <c r="W18" s="100">
        <v>10</v>
      </c>
      <c r="X18" s="100">
        <v>10</v>
      </c>
      <c r="Y18" s="100">
        <v>10</v>
      </c>
      <c r="Z18" s="100">
        <v>15</v>
      </c>
      <c r="AA18" s="100">
        <v>15</v>
      </c>
      <c r="AB18" s="100">
        <v>15</v>
      </c>
      <c r="AC18" s="100">
        <v>15</v>
      </c>
      <c r="AD18" s="100">
        <v>15</v>
      </c>
      <c r="AE18" s="100">
        <v>15</v>
      </c>
      <c r="AF18" s="100">
        <v>15</v>
      </c>
      <c r="AG18" s="100">
        <v>15</v>
      </c>
      <c r="AH18" s="100">
        <v>15</v>
      </c>
      <c r="AI18" s="100">
        <v>15</v>
      </c>
      <c r="AJ18" s="100">
        <v>15</v>
      </c>
      <c r="AK18" s="100">
        <v>15</v>
      </c>
      <c r="AL18" s="100">
        <v>20</v>
      </c>
      <c r="AM18" s="100">
        <v>20</v>
      </c>
      <c r="AN18" s="100">
        <v>20</v>
      </c>
      <c r="AO18" s="100">
        <v>20</v>
      </c>
      <c r="AP18" s="100">
        <v>20</v>
      </c>
      <c r="AQ18" s="100">
        <v>20</v>
      </c>
      <c r="AR18" s="100">
        <v>20</v>
      </c>
      <c r="AS18" s="100">
        <v>20</v>
      </c>
      <c r="AT18" s="100">
        <v>20</v>
      </c>
      <c r="AU18" s="100">
        <v>20</v>
      </c>
      <c r="AV18" s="100">
        <v>20</v>
      </c>
      <c r="AW18" s="100">
        <v>20</v>
      </c>
      <c r="AX18" s="100">
        <v>20</v>
      </c>
      <c r="AY18" s="100">
        <v>20</v>
      </c>
      <c r="AZ18" s="100">
        <v>20</v>
      </c>
      <c r="BA18" s="100">
        <v>20</v>
      </c>
      <c r="BB18" s="100">
        <v>20</v>
      </c>
      <c r="BC18" s="100">
        <v>20</v>
      </c>
      <c r="BD18" s="100">
        <v>20</v>
      </c>
      <c r="BE18" s="100">
        <v>20</v>
      </c>
      <c r="BF18" s="100">
        <v>20</v>
      </c>
      <c r="BG18" s="100">
        <v>20</v>
      </c>
      <c r="BH18" s="100">
        <v>20</v>
      </c>
      <c r="BI18" s="100">
        <v>20</v>
      </c>
      <c r="BJ18" s="100">
        <v>20</v>
      </c>
      <c r="BK18" s="100">
        <v>20</v>
      </c>
      <c r="BL18" s="100">
        <v>20</v>
      </c>
      <c r="BM18" s="100">
        <v>20</v>
      </c>
      <c r="BN18" s="100">
        <v>20</v>
      </c>
      <c r="BO18" s="100">
        <v>20</v>
      </c>
      <c r="BP18" s="100">
        <v>20</v>
      </c>
      <c r="BQ18" s="100">
        <v>20</v>
      </c>
      <c r="BR18" s="100">
        <v>20</v>
      </c>
      <c r="BS18" s="100">
        <v>20</v>
      </c>
      <c r="BT18" s="100">
        <v>20</v>
      </c>
      <c r="BU18" s="100">
        <v>20</v>
      </c>
      <c r="BV18" s="100">
        <v>20</v>
      </c>
      <c r="BW18" s="100">
        <v>20</v>
      </c>
      <c r="BX18" s="100">
        <v>20</v>
      </c>
      <c r="BY18" s="100">
        <v>20</v>
      </c>
      <c r="BZ18" s="100">
        <v>20</v>
      </c>
      <c r="CA18" s="100">
        <v>20</v>
      </c>
      <c r="CB18" s="100">
        <v>20</v>
      </c>
      <c r="CC18" s="100">
        <v>20</v>
      </c>
      <c r="CD18" s="100">
        <v>20</v>
      </c>
      <c r="CE18" s="100">
        <v>20</v>
      </c>
      <c r="CF18" s="100">
        <v>20</v>
      </c>
      <c r="CG18" s="100">
        <v>20</v>
      </c>
    </row>
    <row r="19" spans="1:85" s="22" customFormat="1" x14ac:dyDescent="0.2">
      <c r="A19" s="22" t="s">
        <v>253</v>
      </c>
      <c r="B19" s="101">
        <v>0.1</v>
      </c>
      <c r="C19" s="101">
        <v>0.1</v>
      </c>
      <c r="D19" s="101">
        <v>0.1</v>
      </c>
      <c r="E19" s="101">
        <v>0.1</v>
      </c>
      <c r="F19" s="101">
        <v>0.1</v>
      </c>
      <c r="G19" s="101">
        <v>0.1</v>
      </c>
      <c r="H19" s="101">
        <v>0.1</v>
      </c>
      <c r="I19" s="101">
        <v>0.1</v>
      </c>
      <c r="J19" s="101">
        <v>0.1</v>
      </c>
      <c r="K19" s="101">
        <v>0.1</v>
      </c>
      <c r="L19" s="101">
        <v>0.1</v>
      </c>
      <c r="M19" s="101">
        <v>0.1</v>
      </c>
      <c r="N19" s="101">
        <v>0.1</v>
      </c>
      <c r="O19" s="101">
        <v>0.1</v>
      </c>
      <c r="P19" s="101">
        <v>0.1</v>
      </c>
      <c r="Q19" s="101">
        <v>0.1</v>
      </c>
      <c r="R19" s="101">
        <v>0.1</v>
      </c>
      <c r="S19" s="101">
        <v>0.1</v>
      </c>
      <c r="T19" s="101">
        <v>0.1</v>
      </c>
      <c r="U19" s="101">
        <v>0.1</v>
      </c>
      <c r="V19" s="101">
        <v>0.1</v>
      </c>
      <c r="W19" s="101">
        <v>0.1</v>
      </c>
      <c r="X19" s="101">
        <v>0.1</v>
      </c>
      <c r="Y19" s="101">
        <v>0.1</v>
      </c>
      <c r="Z19" s="101">
        <v>0.1</v>
      </c>
      <c r="AA19" s="101">
        <v>0.1</v>
      </c>
      <c r="AB19" s="101">
        <v>0.1</v>
      </c>
      <c r="AC19" s="101">
        <v>0.1</v>
      </c>
      <c r="AD19" s="101">
        <v>0.1</v>
      </c>
      <c r="AE19" s="101">
        <v>0.1</v>
      </c>
      <c r="AF19" s="101">
        <v>0.1</v>
      </c>
      <c r="AG19" s="101">
        <v>0.1</v>
      </c>
      <c r="AH19" s="101">
        <v>0.1</v>
      </c>
      <c r="AI19" s="101">
        <v>0.1</v>
      </c>
      <c r="AJ19" s="101">
        <v>0.1</v>
      </c>
      <c r="AK19" s="101">
        <v>0.1</v>
      </c>
      <c r="AL19" s="101">
        <v>0.1</v>
      </c>
      <c r="AM19" s="101">
        <v>0.1</v>
      </c>
      <c r="AN19" s="101">
        <v>0.1</v>
      </c>
      <c r="AO19" s="101">
        <v>0.1</v>
      </c>
      <c r="AP19" s="101">
        <v>0.1</v>
      </c>
      <c r="AQ19" s="101">
        <v>0.1</v>
      </c>
      <c r="AR19" s="101">
        <v>0.1</v>
      </c>
      <c r="AS19" s="101">
        <v>0.1</v>
      </c>
      <c r="AT19" s="101">
        <v>0.1</v>
      </c>
      <c r="AU19" s="101">
        <v>0.1</v>
      </c>
      <c r="AV19" s="101">
        <v>0.1</v>
      </c>
      <c r="AW19" s="101">
        <v>0.1</v>
      </c>
      <c r="AX19" s="101">
        <v>0.1</v>
      </c>
      <c r="AY19" s="101">
        <v>0.1</v>
      </c>
      <c r="AZ19" s="101">
        <v>0.1</v>
      </c>
      <c r="BA19" s="101">
        <v>0.1</v>
      </c>
      <c r="BB19" s="101">
        <v>0.1</v>
      </c>
      <c r="BC19" s="101">
        <v>0.1</v>
      </c>
      <c r="BD19" s="101">
        <v>0.1</v>
      </c>
      <c r="BE19" s="101">
        <v>0.1</v>
      </c>
      <c r="BF19" s="101">
        <v>0.1</v>
      </c>
      <c r="BG19" s="101">
        <v>0.1</v>
      </c>
      <c r="BH19" s="101">
        <v>0.1</v>
      </c>
      <c r="BI19" s="101">
        <v>0.1</v>
      </c>
      <c r="BJ19" s="101">
        <v>0.1</v>
      </c>
      <c r="BK19" s="101">
        <v>0.1</v>
      </c>
      <c r="BL19" s="101">
        <v>0.1</v>
      </c>
      <c r="BM19" s="101">
        <v>0.1</v>
      </c>
      <c r="BN19" s="101">
        <v>0.1</v>
      </c>
      <c r="BO19" s="101">
        <v>0.1</v>
      </c>
      <c r="BP19" s="101">
        <v>0.1</v>
      </c>
      <c r="BQ19" s="101">
        <v>0.1</v>
      </c>
      <c r="BR19" s="101">
        <v>0.1</v>
      </c>
      <c r="BS19" s="101">
        <v>0.1</v>
      </c>
      <c r="BT19" s="101">
        <v>0.1</v>
      </c>
      <c r="BU19" s="101">
        <v>0.1</v>
      </c>
      <c r="BV19" s="101">
        <v>0.1</v>
      </c>
      <c r="BW19" s="101">
        <v>0.1</v>
      </c>
      <c r="BX19" s="101">
        <v>0.1</v>
      </c>
      <c r="BY19" s="101">
        <v>0.1</v>
      </c>
      <c r="BZ19" s="101">
        <v>0.1</v>
      </c>
      <c r="CA19" s="101">
        <v>0.1</v>
      </c>
      <c r="CB19" s="101">
        <v>0.1</v>
      </c>
      <c r="CC19" s="101">
        <v>0.1</v>
      </c>
      <c r="CD19" s="101">
        <v>0.1</v>
      </c>
      <c r="CE19" s="101">
        <v>0.1</v>
      </c>
      <c r="CF19" s="101">
        <v>0.1</v>
      </c>
      <c r="CG19" s="101">
        <v>0.1</v>
      </c>
    </row>
    <row r="20" spans="1:85" s="22" customFormat="1" x14ac:dyDescent="0.2">
      <c r="A20" s="22" t="s">
        <v>254</v>
      </c>
      <c r="B20" s="14">
        <f>B17*B18*B19</f>
        <v>10</v>
      </c>
      <c r="C20" s="14">
        <f t="shared" ref="C20:BN20" si="14">C17*C18*C19</f>
        <v>10</v>
      </c>
      <c r="D20" s="14">
        <f t="shared" si="14"/>
        <v>10</v>
      </c>
      <c r="E20" s="14">
        <f t="shared" si="14"/>
        <v>10</v>
      </c>
      <c r="F20" s="14">
        <f t="shared" si="14"/>
        <v>10</v>
      </c>
      <c r="G20" s="14">
        <f t="shared" si="14"/>
        <v>10</v>
      </c>
      <c r="H20" s="14">
        <f t="shared" si="14"/>
        <v>10</v>
      </c>
      <c r="I20" s="14">
        <f t="shared" si="14"/>
        <v>10</v>
      </c>
      <c r="J20" s="14">
        <f t="shared" si="14"/>
        <v>10</v>
      </c>
      <c r="K20" s="14">
        <f t="shared" si="14"/>
        <v>10</v>
      </c>
      <c r="L20" s="14">
        <f t="shared" si="14"/>
        <v>10</v>
      </c>
      <c r="M20" s="14">
        <f t="shared" si="14"/>
        <v>10</v>
      </c>
      <c r="N20" s="14">
        <f t="shared" si="14"/>
        <v>20</v>
      </c>
      <c r="O20" s="14">
        <f t="shared" si="14"/>
        <v>20</v>
      </c>
      <c r="P20" s="14">
        <f t="shared" si="14"/>
        <v>20</v>
      </c>
      <c r="Q20" s="14">
        <f t="shared" si="14"/>
        <v>20</v>
      </c>
      <c r="R20" s="14">
        <f t="shared" si="14"/>
        <v>20</v>
      </c>
      <c r="S20" s="14">
        <f t="shared" si="14"/>
        <v>20</v>
      </c>
      <c r="T20" s="14">
        <f t="shared" si="14"/>
        <v>20</v>
      </c>
      <c r="U20" s="14">
        <f t="shared" si="14"/>
        <v>20</v>
      </c>
      <c r="V20" s="14">
        <f t="shared" si="14"/>
        <v>20</v>
      </c>
      <c r="W20" s="14">
        <f t="shared" si="14"/>
        <v>20</v>
      </c>
      <c r="X20" s="14">
        <f t="shared" si="14"/>
        <v>20</v>
      </c>
      <c r="Y20" s="14">
        <f t="shared" si="14"/>
        <v>20</v>
      </c>
      <c r="Z20" s="14">
        <f t="shared" si="14"/>
        <v>37.5</v>
      </c>
      <c r="AA20" s="14">
        <f t="shared" si="14"/>
        <v>37.5</v>
      </c>
      <c r="AB20" s="14">
        <f t="shared" si="14"/>
        <v>37.5</v>
      </c>
      <c r="AC20" s="14">
        <f t="shared" si="14"/>
        <v>37.5</v>
      </c>
      <c r="AD20" s="14">
        <f t="shared" si="14"/>
        <v>37.5</v>
      </c>
      <c r="AE20" s="14">
        <f t="shared" si="14"/>
        <v>37.5</v>
      </c>
      <c r="AF20" s="14">
        <f t="shared" si="14"/>
        <v>37.5</v>
      </c>
      <c r="AG20" s="14">
        <f t="shared" si="14"/>
        <v>37.5</v>
      </c>
      <c r="AH20" s="14">
        <f t="shared" si="14"/>
        <v>37.5</v>
      </c>
      <c r="AI20" s="14">
        <f t="shared" si="14"/>
        <v>37.5</v>
      </c>
      <c r="AJ20" s="14">
        <f t="shared" si="14"/>
        <v>37.5</v>
      </c>
      <c r="AK20" s="14">
        <f t="shared" si="14"/>
        <v>37.5</v>
      </c>
      <c r="AL20" s="14">
        <f t="shared" si="14"/>
        <v>50</v>
      </c>
      <c r="AM20" s="14">
        <f t="shared" si="14"/>
        <v>50</v>
      </c>
      <c r="AN20" s="14">
        <f t="shared" si="14"/>
        <v>50</v>
      </c>
      <c r="AO20" s="14">
        <f t="shared" si="14"/>
        <v>50</v>
      </c>
      <c r="AP20" s="14">
        <f t="shared" si="14"/>
        <v>50</v>
      </c>
      <c r="AQ20" s="14">
        <f t="shared" si="14"/>
        <v>50</v>
      </c>
      <c r="AR20" s="14">
        <f t="shared" si="14"/>
        <v>50</v>
      </c>
      <c r="AS20" s="14">
        <f t="shared" si="14"/>
        <v>50</v>
      </c>
      <c r="AT20" s="14">
        <f t="shared" si="14"/>
        <v>50</v>
      </c>
      <c r="AU20" s="14">
        <f t="shared" si="14"/>
        <v>50</v>
      </c>
      <c r="AV20" s="14">
        <f t="shared" si="14"/>
        <v>50</v>
      </c>
      <c r="AW20" s="14">
        <f t="shared" si="14"/>
        <v>50</v>
      </c>
      <c r="AX20" s="14">
        <f t="shared" si="14"/>
        <v>50</v>
      </c>
      <c r="AY20" s="14">
        <f t="shared" si="14"/>
        <v>50</v>
      </c>
      <c r="AZ20" s="14">
        <f t="shared" si="14"/>
        <v>50</v>
      </c>
      <c r="BA20" s="14">
        <f t="shared" si="14"/>
        <v>50</v>
      </c>
      <c r="BB20" s="14">
        <f t="shared" si="14"/>
        <v>50</v>
      </c>
      <c r="BC20" s="14">
        <f t="shared" si="14"/>
        <v>50</v>
      </c>
      <c r="BD20" s="14">
        <f t="shared" si="14"/>
        <v>50</v>
      </c>
      <c r="BE20" s="14">
        <f t="shared" si="14"/>
        <v>50</v>
      </c>
      <c r="BF20" s="14">
        <f t="shared" si="14"/>
        <v>50</v>
      </c>
      <c r="BG20" s="14">
        <f t="shared" si="14"/>
        <v>50</v>
      </c>
      <c r="BH20" s="14">
        <f t="shared" si="14"/>
        <v>50</v>
      </c>
      <c r="BI20" s="14">
        <f t="shared" si="14"/>
        <v>50</v>
      </c>
      <c r="BJ20" s="14">
        <f t="shared" si="14"/>
        <v>50</v>
      </c>
      <c r="BK20" s="14">
        <f t="shared" si="14"/>
        <v>50</v>
      </c>
      <c r="BL20" s="14">
        <f t="shared" si="14"/>
        <v>50</v>
      </c>
      <c r="BM20" s="14">
        <f t="shared" si="14"/>
        <v>50</v>
      </c>
      <c r="BN20" s="14">
        <f t="shared" si="14"/>
        <v>50</v>
      </c>
      <c r="BO20" s="14">
        <f t="shared" ref="BO20:CG20" si="15">BO17*BO18*BO19</f>
        <v>50</v>
      </c>
      <c r="BP20" s="14">
        <f t="shared" si="15"/>
        <v>50</v>
      </c>
      <c r="BQ20" s="14">
        <f t="shared" si="15"/>
        <v>50</v>
      </c>
      <c r="BR20" s="14">
        <f t="shared" si="15"/>
        <v>50</v>
      </c>
      <c r="BS20" s="14">
        <f t="shared" si="15"/>
        <v>50</v>
      </c>
      <c r="BT20" s="14">
        <f t="shared" si="15"/>
        <v>50</v>
      </c>
      <c r="BU20" s="14">
        <f t="shared" si="15"/>
        <v>50</v>
      </c>
      <c r="BV20" s="14">
        <f t="shared" si="15"/>
        <v>50</v>
      </c>
      <c r="BW20" s="14">
        <f t="shared" si="15"/>
        <v>50</v>
      </c>
      <c r="BX20" s="14">
        <f t="shared" si="15"/>
        <v>50</v>
      </c>
      <c r="BY20" s="14">
        <f t="shared" si="15"/>
        <v>50</v>
      </c>
      <c r="BZ20" s="14">
        <f t="shared" si="15"/>
        <v>50</v>
      </c>
      <c r="CA20" s="14">
        <f t="shared" si="15"/>
        <v>50</v>
      </c>
      <c r="CB20" s="14">
        <f t="shared" si="15"/>
        <v>50</v>
      </c>
      <c r="CC20" s="14">
        <f t="shared" si="15"/>
        <v>50</v>
      </c>
      <c r="CD20" s="14">
        <f t="shared" si="15"/>
        <v>50</v>
      </c>
      <c r="CE20" s="14">
        <f t="shared" si="15"/>
        <v>50</v>
      </c>
      <c r="CF20" s="14">
        <f t="shared" si="15"/>
        <v>50</v>
      </c>
      <c r="CG20" s="14">
        <f t="shared" si="15"/>
        <v>50</v>
      </c>
    </row>
    <row r="21" spans="1:85" s="22" customFormat="1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</row>
    <row r="22" spans="1:85" s="22" customFormat="1" x14ac:dyDescent="0.2">
      <c r="A22" s="22" t="s">
        <v>255</v>
      </c>
      <c r="B22" s="102">
        <v>0</v>
      </c>
      <c r="C22" s="102">
        <v>0</v>
      </c>
      <c r="D22" s="102">
        <v>0</v>
      </c>
      <c r="E22" s="102">
        <v>0</v>
      </c>
      <c r="F22" s="102">
        <v>0</v>
      </c>
      <c r="G22" s="102">
        <v>0</v>
      </c>
      <c r="H22" s="102">
        <v>0</v>
      </c>
      <c r="I22" s="102">
        <v>0</v>
      </c>
      <c r="J22" s="102">
        <v>0</v>
      </c>
      <c r="K22" s="102">
        <v>0</v>
      </c>
      <c r="L22" s="102">
        <v>0</v>
      </c>
      <c r="M22" s="102">
        <v>0</v>
      </c>
      <c r="N22" s="102">
        <v>10</v>
      </c>
      <c r="O22" s="102">
        <v>10</v>
      </c>
      <c r="P22" s="102">
        <v>10</v>
      </c>
      <c r="Q22" s="102">
        <v>10</v>
      </c>
      <c r="R22" s="102">
        <v>10</v>
      </c>
      <c r="S22" s="102">
        <v>10</v>
      </c>
      <c r="T22" s="102">
        <v>10</v>
      </c>
      <c r="U22" s="102">
        <v>10</v>
      </c>
      <c r="V22" s="102">
        <v>10</v>
      </c>
      <c r="W22" s="102">
        <v>10</v>
      </c>
      <c r="X22" s="102">
        <v>10</v>
      </c>
      <c r="Y22" s="102">
        <v>10</v>
      </c>
      <c r="Z22" s="102">
        <v>10</v>
      </c>
      <c r="AA22" s="102">
        <v>10</v>
      </c>
      <c r="AB22" s="102">
        <v>10</v>
      </c>
      <c r="AC22" s="102">
        <v>10</v>
      </c>
      <c r="AD22" s="102">
        <v>10</v>
      </c>
      <c r="AE22" s="102">
        <v>10</v>
      </c>
      <c r="AF22" s="102">
        <v>10</v>
      </c>
      <c r="AG22" s="102">
        <v>10</v>
      </c>
      <c r="AH22" s="102">
        <v>10</v>
      </c>
      <c r="AI22" s="102">
        <v>10</v>
      </c>
      <c r="AJ22" s="102">
        <v>10</v>
      </c>
      <c r="AK22" s="102">
        <v>10</v>
      </c>
      <c r="AL22" s="102">
        <v>10</v>
      </c>
      <c r="AM22" s="102">
        <v>10</v>
      </c>
      <c r="AN22" s="102">
        <v>10</v>
      </c>
      <c r="AO22" s="102">
        <v>10</v>
      </c>
      <c r="AP22" s="102">
        <v>10</v>
      </c>
      <c r="AQ22" s="102">
        <v>10</v>
      </c>
      <c r="AR22" s="102">
        <v>10</v>
      </c>
      <c r="AS22" s="102">
        <v>10</v>
      </c>
      <c r="AT22" s="102">
        <v>10</v>
      </c>
      <c r="AU22" s="102">
        <v>10</v>
      </c>
      <c r="AV22" s="102">
        <v>10</v>
      </c>
      <c r="AW22" s="102">
        <v>10</v>
      </c>
      <c r="AX22" s="102">
        <v>10</v>
      </c>
      <c r="AY22" s="102">
        <v>10</v>
      </c>
      <c r="AZ22" s="102">
        <v>10</v>
      </c>
      <c r="BA22" s="102">
        <v>10</v>
      </c>
      <c r="BB22" s="102">
        <v>10</v>
      </c>
      <c r="BC22" s="102">
        <v>10</v>
      </c>
      <c r="BD22" s="102">
        <v>10</v>
      </c>
      <c r="BE22" s="102">
        <v>10</v>
      </c>
      <c r="BF22" s="102">
        <v>10</v>
      </c>
      <c r="BG22" s="102">
        <v>10</v>
      </c>
      <c r="BH22" s="102">
        <v>10</v>
      </c>
      <c r="BI22" s="102">
        <v>10</v>
      </c>
      <c r="BJ22" s="102">
        <v>10</v>
      </c>
      <c r="BK22" s="102">
        <v>10</v>
      </c>
      <c r="BL22" s="102">
        <v>10</v>
      </c>
      <c r="BM22" s="102">
        <v>10</v>
      </c>
      <c r="BN22" s="102">
        <v>10</v>
      </c>
      <c r="BO22" s="102">
        <v>10</v>
      </c>
      <c r="BP22" s="102">
        <v>10</v>
      </c>
      <c r="BQ22" s="102">
        <v>10</v>
      </c>
      <c r="BR22" s="102">
        <v>10</v>
      </c>
      <c r="BS22" s="102">
        <v>10</v>
      </c>
      <c r="BT22" s="102">
        <v>10</v>
      </c>
      <c r="BU22" s="102">
        <v>10</v>
      </c>
      <c r="BV22" s="102">
        <v>10</v>
      </c>
      <c r="BW22" s="102">
        <v>10</v>
      </c>
      <c r="BX22" s="102">
        <v>10</v>
      </c>
      <c r="BY22" s="102">
        <v>10</v>
      </c>
      <c r="BZ22" s="102">
        <v>10</v>
      </c>
      <c r="CA22" s="102">
        <v>10</v>
      </c>
      <c r="CB22" s="102">
        <v>10</v>
      </c>
      <c r="CC22" s="102">
        <v>10</v>
      </c>
      <c r="CD22" s="102">
        <v>10</v>
      </c>
      <c r="CE22" s="102">
        <v>10</v>
      </c>
      <c r="CF22" s="102">
        <v>10</v>
      </c>
      <c r="CG22" s="102">
        <v>10</v>
      </c>
    </row>
    <row r="23" spans="1:85" s="22" customFormat="1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</row>
    <row r="24" spans="1:85" s="22" customFormat="1" x14ac:dyDescent="0.2">
      <c r="A24" s="22" t="s">
        <v>256</v>
      </c>
      <c r="B24" s="105">
        <f>B22/1000</f>
        <v>0</v>
      </c>
      <c r="C24" s="105">
        <f t="shared" ref="C24:BN24" si="16">C22/1000</f>
        <v>0</v>
      </c>
      <c r="D24" s="105">
        <f t="shared" si="16"/>
        <v>0</v>
      </c>
      <c r="E24" s="105">
        <f t="shared" si="16"/>
        <v>0</v>
      </c>
      <c r="F24" s="105">
        <f t="shared" si="16"/>
        <v>0</v>
      </c>
      <c r="G24" s="105">
        <f t="shared" si="16"/>
        <v>0</v>
      </c>
      <c r="H24" s="105">
        <f t="shared" si="16"/>
        <v>0</v>
      </c>
      <c r="I24" s="105">
        <f t="shared" si="16"/>
        <v>0</v>
      </c>
      <c r="J24" s="105">
        <f t="shared" si="16"/>
        <v>0</v>
      </c>
      <c r="K24" s="105">
        <f t="shared" si="16"/>
        <v>0</v>
      </c>
      <c r="L24" s="105">
        <f t="shared" si="16"/>
        <v>0</v>
      </c>
      <c r="M24" s="105">
        <f t="shared" si="16"/>
        <v>0</v>
      </c>
      <c r="N24" s="105">
        <f t="shared" si="16"/>
        <v>0.01</v>
      </c>
      <c r="O24" s="105">
        <f t="shared" si="16"/>
        <v>0.01</v>
      </c>
      <c r="P24" s="105">
        <f t="shared" si="16"/>
        <v>0.01</v>
      </c>
      <c r="Q24" s="105">
        <f t="shared" si="16"/>
        <v>0.01</v>
      </c>
      <c r="R24" s="105">
        <f t="shared" si="16"/>
        <v>0.01</v>
      </c>
      <c r="S24" s="105">
        <f t="shared" si="16"/>
        <v>0.01</v>
      </c>
      <c r="T24" s="105">
        <f t="shared" si="16"/>
        <v>0.01</v>
      </c>
      <c r="U24" s="105">
        <f t="shared" si="16"/>
        <v>0.01</v>
      </c>
      <c r="V24" s="105">
        <f t="shared" si="16"/>
        <v>0.01</v>
      </c>
      <c r="W24" s="105">
        <f t="shared" si="16"/>
        <v>0.01</v>
      </c>
      <c r="X24" s="105">
        <f t="shared" si="16"/>
        <v>0.01</v>
      </c>
      <c r="Y24" s="105">
        <f t="shared" si="16"/>
        <v>0.01</v>
      </c>
      <c r="Z24" s="105">
        <f t="shared" si="16"/>
        <v>0.01</v>
      </c>
      <c r="AA24" s="105">
        <f t="shared" si="16"/>
        <v>0.01</v>
      </c>
      <c r="AB24" s="105">
        <f t="shared" si="16"/>
        <v>0.01</v>
      </c>
      <c r="AC24" s="105">
        <f t="shared" si="16"/>
        <v>0.01</v>
      </c>
      <c r="AD24" s="105">
        <f t="shared" si="16"/>
        <v>0.01</v>
      </c>
      <c r="AE24" s="105">
        <f t="shared" si="16"/>
        <v>0.01</v>
      </c>
      <c r="AF24" s="105">
        <f t="shared" si="16"/>
        <v>0.01</v>
      </c>
      <c r="AG24" s="105">
        <f t="shared" si="16"/>
        <v>0.01</v>
      </c>
      <c r="AH24" s="105">
        <f t="shared" si="16"/>
        <v>0.01</v>
      </c>
      <c r="AI24" s="105">
        <f t="shared" si="16"/>
        <v>0.01</v>
      </c>
      <c r="AJ24" s="105">
        <f t="shared" si="16"/>
        <v>0.01</v>
      </c>
      <c r="AK24" s="105">
        <f t="shared" si="16"/>
        <v>0.01</v>
      </c>
      <c r="AL24" s="105">
        <f t="shared" si="16"/>
        <v>0.01</v>
      </c>
      <c r="AM24" s="105">
        <f t="shared" si="16"/>
        <v>0.01</v>
      </c>
      <c r="AN24" s="105">
        <f t="shared" si="16"/>
        <v>0.01</v>
      </c>
      <c r="AO24" s="105">
        <f t="shared" si="16"/>
        <v>0.01</v>
      </c>
      <c r="AP24" s="105">
        <f t="shared" si="16"/>
        <v>0.01</v>
      </c>
      <c r="AQ24" s="105">
        <f t="shared" si="16"/>
        <v>0.01</v>
      </c>
      <c r="AR24" s="105">
        <f t="shared" si="16"/>
        <v>0.01</v>
      </c>
      <c r="AS24" s="105">
        <f t="shared" si="16"/>
        <v>0.01</v>
      </c>
      <c r="AT24" s="105">
        <f t="shared" si="16"/>
        <v>0.01</v>
      </c>
      <c r="AU24" s="105">
        <f t="shared" si="16"/>
        <v>0.01</v>
      </c>
      <c r="AV24" s="105">
        <f t="shared" si="16"/>
        <v>0.01</v>
      </c>
      <c r="AW24" s="105">
        <f t="shared" si="16"/>
        <v>0.01</v>
      </c>
      <c r="AX24" s="105">
        <f t="shared" si="16"/>
        <v>0.01</v>
      </c>
      <c r="AY24" s="105">
        <f t="shared" si="16"/>
        <v>0.01</v>
      </c>
      <c r="AZ24" s="105">
        <f t="shared" si="16"/>
        <v>0.01</v>
      </c>
      <c r="BA24" s="105">
        <f t="shared" si="16"/>
        <v>0.01</v>
      </c>
      <c r="BB24" s="105">
        <f t="shared" si="16"/>
        <v>0.01</v>
      </c>
      <c r="BC24" s="105">
        <f t="shared" si="16"/>
        <v>0.01</v>
      </c>
      <c r="BD24" s="105">
        <f t="shared" si="16"/>
        <v>0.01</v>
      </c>
      <c r="BE24" s="105">
        <f t="shared" si="16"/>
        <v>0.01</v>
      </c>
      <c r="BF24" s="105">
        <f t="shared" si="16"/>
        <v>0.01</v>
      </c>
      <c r="BG24" s="105">
        <f t="shared" si="16"/>
        <v>0.01</v>
      </c>
      <c r="BH24" s="105">
        <f t="shared" si="16"/>
        <v>0.01</v>
      </c>
      <c r="BI24" s="105">
        <f t="shared" si="16"/>
        <v>0.01</v>
      </c>
      <c r="BJ24" s="105">
        <f t="shared" si="16"/>
        <v>0.01</v>
      </c>
      <c r="BK24" s="105">
        <f t="shared" si="16"/>
        <v>0.01</v>
      </c>
      <c r="BL24" s="105">
        <f t="shared" si="16"/>
        <v>0.01</v>
      </c>
      <c r="BM24" s="105">
        <f t="shared" si="16"/>
        <v>0.01</v>
      </c>
      <c r="BN24" s="105">
        <f t="shared" si="16"/>
        <v>0.01</v>
      </c>
      <c r="BO24" s="105">
        <f t="shared" ref="BO24:CG24" si="17">BO22/1000</f>
        <v>0.01</v>
      </c>
      <c r="BP24" s="105">
        <f t="shared" si="17"/>
        <v>0.01</v>
      </c>
      <c r="BQ24" s="105">
        <f t="shared" si="17"/>
        <v>0.01</v>
      </c>
      <c r="BR24" s="105">
        <f t="shared" si="17"/>
        <v>0.01</v>
      </c>
      <c r="BS24" s="105">
        <f t="shared" si="17"/>
        <v>0.01</v>
      </c>
      <c r="BT24" s="105">
        <f t="shared" si="17"/>
        <v>0.01</v>
      </c>
      <c r="BU24" s="105">
        <f t="shared" si="17"/>
        <v>0.01</v>
      </c>
      <c r="BV24" s="105">
        <f t="shared" si="17"/>
        <v>0.01</v>
      </c>
      <c r="BW24" s="105">
        <f t="shared" si="17"/>
        <v>0.01</v>
      </c>
      <c r="BX24" s="105">
        <f t="shared" si="17"/>
        <v>0.01</v>
      </c>
      <c r="BY24" s="105">
        <f t="shared" si="17"/>
        <v>0.01</v>
      </c>
      <c r="BZ24" s="105">
        <f t="shared" si="17"/>
        <v>0.01</v>
      </c>
      <c r="CA24" s="105">
        <f t="shared" si="17"/>
        <v>0.01</v>
      </c>
      <c r="CB24" s="105">
        <f t="shared" si="17"/>
        <v>0.01</v>
      </c>
      <c r="CC24" s="105">
        <f t="shared" si="17"/>
        <v>0.01</v>
      </c>
      <c r="CD24" s="105">
        <f t="shared" si="17"/>
        <v>0.01</v>
      </c>
      <c r="CE24" s="105">
        <f t="shared" si="17"/>
        <v>0.01</v>
      </c>
      <c r="CF24" s="105">
        <f t="shared" si="17"/>
        <v>0.01</v>
      </c>
      <c r="CG24" s="105">
        <f t="shared" si="17"/>
        <v>0.01</v>
      </c>
    </row>
    <row r="25" spans="1:85" s="22" customFormat="1" x14ac:dyDescent="0.2">
      <c r="A25" s="22" t="s">
        <v>257</v>
      </c>
      <c r="B25" s="104">
        <f>B20*B24</f>
        <v>0</v>
      </c>
      <c r="C25" s="104">
        <f t="shared" ref="C25:BN25" si="18">C20*C24</f>
        <v>0</v>
      </c>
      <c r="D25" s="104">
        <f t="shared" si="18"/>
        <v>0</v>
      </c>
      <c r="E25" s="104">
        <f t="shared" si="18"/>
        <v>0</v>
      </c>
      <c r="F25" s="104">
        <f t="shared" si="18"/>
        <v>0</v>
      </c>
      <c r="G25" s="104">
        <f t="shared" si="18"/>
        <v>0</v>
      </c>
      <c r="H25" s="104">
        <f t="shared" si="18"/>
        <v>0</v>
      </c>
      <c r="I25" s="104">
        <f t="shared" si="18"/>
        <v>0</v>
      </c>
      <c r="J25" s="104">
        <f t="shared" si="18"/>
        <v>0</v>
      </c>
      <c r="K25" s="104">
        <f t="shared" si="18"/>
        <v>0</v>
      </c>
      <c r="L25" s="104">
        <f t="shared" si="18"/>
        <v>0</v>
      </c>
      <c r="M25" s="104">
        <f t="shared" si="18"/>
        <v>0</v>
      </c>
      <c r="N25" s="104">
        <f t="shared" si="18"/>
        <v>0.2</v>
      </c>
      <c r="O25" s="104">
        <f t="shared" si="18"/>
        <v>0.2</v>
      </c>
      <c r="P25" s="104">
        <f t="shared" si="18"/>
        <v>0.2</v>
      </c>
      <c r="Q25" s="104">
        <f t="shared" si="18"/>
        <v>0.2</v>
      </c>
      <c r="R25" s="104">
        <f t="shared" si="18"/>
        <v>0.2</v>
      </c>
      <c r="S25" s="104">
        <f t="shared" si="18"/>
        <v>0.2</v>
      </c>
      <c r="T25" s="104">
        <f t="shared" si="18"/>
        <v>0.2</v>
      </c>
      <c r="U25" s="104">
        <f t="shared" si="18"/>
        <v>0.2</v>
      </c>
      <c r="V25" s="104">
        <f t="shared" si="18"/>
        <v>0.2</v>
      </c>
      <c r="W25" s="104">
        <f t="shared" si="18"/>
        <v>0.2</v>
      </c>
      <c r="X25" s="104">
        <f t="shared" si="18"/>
        <v>0.2</v>
      </c>
      <c r="Y25" s="104">
        <f t="shared" si="18"/>
        <v>0.2</v>
      </c>
      <c r="Z25" s="104">
        <f t="shared" si="18"/>
        <v>0.375</v>
      </c>
      <c r="AA25" s="104">
        <f t="shared" si="18"/>
        <v>0.375</v>
      </c>
      <c r="AB25" s="104">
        <f t="shared" si="18"/>
        <v>0.375</v>
      </c>
      <c r="AC25" s="104">
        <f t="shared" si="18"/>
        <v>0.375</v>
      </c>
      <c r="AD25" s="104">
        <f t="shared" si="18"/>
        <v>0.375</v>
      </c>
      <c r="AE25" s="104">
        <f t="shared" si="18"/>
        <v>0.375</v>
      </c>
      <c r="AF25" s="104">
        <f t="shared" si="18"/>
        <v>0.375</v>
      </c>
      <c r="AG25" s="104">
        <f t="shared" si="18"/>
        <v>0.375</v>
      </c>
      <c r="AH25" s="104">
        <f t="shared" si="18"/>
        <v>0.375</v>
      </c>
      <c r="AI25" s="104">
        <f t="shared" si="18"/>
        <v>0.375</v>
      </c>
      <c r="AJ25" s="104">
        <f t="shared" si="18"/>
        <v>0.375</v>
      </c>
      <c r="AK25" s="104">
        <f t="shared" si="18"/>
        <v>0.375</v>
      </c>
      <c r="AL25" s="104">
        <f t="shared" si="18"/>
        <v>0.5</v>
      </c>
      <c r="AM25" s="104">
        <f t="shared" si="18"/>
        <v>0.5</v>
      </c>
      <c r="AN25" s="104">
        <f t="shared" si="18"/>
        <v>0.5</v>
      </c>
      <c r="AO25" s="104">
        <f t="shared" si="18"/>
        <v>0.5</v>
      </c>
      <c r="AP25" s="104">
        <f t="shared" si="18"/>
        <v>0.5</v>
      </c>
      <c r="AQ25" s="104">
        <f t="shared" si="18"/>
        <v>0.5</v>
      </c>
      <c r="AR25" s="104">
        <f t="shared" si="18"/>
        <v>0.5</v>
      </c>
      <c r="AS25" s="104">
        <f t="shared" si="18"/>
        <v>0.5</v>
      </c>
      <c r="AT25" s="104">
        <f t="shared" si="18"/>
        <v>0.5</v>
      </c>
      <c r="AU25" s="104">
        <f t="shared" si="18"/>
        <v>0.5</v>
      </c>
      <c r="AV25" s="104">
        <f t="shared" si="18"/>
        <v>0.5</v>
      </c>
      <c r="AW25" s="104">
        <f t="shared" si="18"/>
        <v>0.5</v>
      </c>
      <c r="AX25" s="104">
        <f t="shared" si="18"/>
        <v>0.5</v>
      </c>
      <c r="AY25" s="104">
        <f t="shared" si="18"/>
        <v>0.5</v>
      </c>
      <c r="AZ25" s="104">
        <f t="shared" si="18"/>
        <v>0.5</v>
      </c>
      <c r="BA25" s="104">
        <f t="shared" si="18"/>
        <v>0.5</v>
      </c>
      <c r="BB25" s="104">
        <f t="shared" si="18"/>
        <v>0.5</v>
      </c>
      <c r="BC25" s="104">
        <f t="shared" si="18"/>
        <v>0.5</v>
      </c>
      <c r="BD25" s="104">
        <f t="shared" si="18"/>
        <v>0.5</v>
      </c>
      <c r="BE25" s="104">
        <f t="shared" si="18"/>
        <v>0.5</v>
      </c>
      <c r="BF25" s="104">
        <f t="shared" si="18"/>
        <v>0.5</v>
      </c>
      <c r="BG25" s="104">
        <f t="shared" si="18"/>
        <v>0.5</v>
      </c>
      <c r="BH25" s="104">
        <f t="shared" si="18"/>
        <v>0.5</v>
      </c>
      <c r="BI25" s="104">
        <f t="shared" si="18"/>
        <v>0.5</v>
      </c>
      <c r="BJ25" s="104">
        <f t="shared" si="18"/>
        <v>0.5</v>
      </c>
      <c r="BK25" s="104">
        <f t="shared" si="18"/>
        <v>0.5</v>
      </c>
      <c r="BL25" s="104">
        <f t="shared" si="18"/>
        <v>0.5</v>
      </c>
      <c r="BM25" s="104">
        <f t="shared" si="18"/>
        <v>0.5</v>
      </c>
      <c r="BN25" s="104">
        <f t="shared" si="18"/>
        <v>0.5</v>
      </c>
      <c r="BO25" s="104">
        <f t="shared" ref="BO25:CG25" si="19">BO20*BO24</f>
        <v>0.5</v>
      </c>
      <c r="BP25" s="104">
        <f t="shared" si="19"/>
        <v>0.5</v>
      </c>
      <c r="BQ25" s="104">
        <f t="shared" si="19"/>
        <v>0.5</v>
      </c>
      <c r="BR25" s="104">
        <f t="shared" si="19"/>
        <v>0.5</v>
      </c>
      <c r="BS25" s="104">
        <f t="shared" si="19"/>
        <v>0.5</v>
      </c>
      <c r="BT25" s="104">
        <f t="shared" si="19"/>
        <v>0.5</v>
      </c>
      <c r="BU25" s="104">
        <f t="shared" si="19"/>
        <v>0.5</v>
      </c>
      <c r="BV25" s="104">
        <f t="shared" si="19"/>
        <v>0.5</v>
      </c>
      <c r="BW25" s="104">
        <f t="shared" si="19"/>
        <v>0.5</v>
      </c>
      <c r="BX25" s="104">
        <f t="shared" si="19"/>
        <v>0.5</v>
      </c>
      <c r="BY25" s="104">
        <f t="shared" si="19"/>
        <v>0.5</v>
      </c>
      <c r="BZ25" s="104">
        <f t="shared" si="19"/>
        <v>0.5</v>
      </c>
      <c r="CA25" s="104">
        <f t="shared" si="19"/>
        <v>0.5</v>
      </c>
      <c r="CB25" s="104">
        <f t="shared" si="19"/>
        <v>0.5</v>
      </c>
      <c r="CC25" s="104">
        <f t="shared" si="19"/>
        <v>0.5</v>
      </c>
      <c r="CD25" s="104">
        <f t="shared" si="19"/>
        <v>0.5</v>
      </c>
      <c r="CE25" s="104">
        <f t="shared" si="19"/>
        <v>0.5</v>
      </c>
      <c r="CF25" s="104">
        <f t="shared" si="19"/>
        <v>0.5</v>
      </c>
      <c r="CG25" s="104">
        <f t="shared" si="19"/>
        <v>0.5</v>
      </c>
    </row>
    <row r="26" spans="1:85" s="22" customFormat="1" x14ac:dyDescent="0.2">
      <c r="A26" s="22" t="s">
        <v>258</v>
      </c>
      <c r="B26" s="104">
        <f>B25*12</f>
        <v>0</v>
      </c>
      <c r="C26" s="104">
        <f t="shared" ref="C26:BN26" si="20">C25*12</f>
        <v>0</v>
      </c>
      <c r="D26" s="104">
        <f t="shared" si="20"/>
        <v>0</v>
      </c>
      <c r="E26" s="104">
        <f t="shared" si="20"/>
        <v>0</v>
      </c>
      <c r="F26" s="104">
        <f t="shared" si="20"/>
        <v>0</v>
      </c>
      <c r="G26" s="104">
        <f t="shared" si="20"/>
        <v>0</v>
      </c>
      <c r="H26" s="104">
        <f t="shared" si="20"/>
        <v>0</v>
      </c>
      <c r="I26" s="104">
        <f t="shared" si="20"/>
        <v>0</v>
      </c>
      <c r="J26" s="104">
        <f t="shared" si="20"/>
        <v>0</v>
      </c>
      <c r="K26" s="104">
        <f t="shared" si="20"/>
        <v>0</v>
      </c>
      <c r="L26" s="104">
        <f t="shared" si="20"/>
        <v>0</v>
      </c>
      <c r="M26" s="104">
        <f t="shared" si="20"/>
        <v>0</v>
      </c>
      <c r="N26" s="104">
        <f t="shared" si="20"/>
        <v>2.4000000000000004</v>
      </c>
      <c r="O26" s="104">
        <f t="shared" si="20"/>
        <v>2.4000000000000004</v>
      </c>
      <c r="P26" s="104">
        <f t="shared" si="20"/>
        <v>2.4000000000000004</v>
      </c>
      <c r="Q26" s="104">
        <f t="shared" si="20"/>
        <v>2.4000000000000004</v>
      </c>
      <c r="R26" s="104">
        <f t="shared" si="20"/>
        <v>2.4000000000000004</v>
      </c>
      <c r="S26" s="104">
        <f t="shared" si="20"/>
        <v>2.4000000000000004</v>
      </c>
      <c r="T26" s="104">
        <f t="shared" si="20"/>
        <v>2.4000000000000004</v>
      </c>
      <c r="U26" s="104">
        <f t="shared" si="20"/>
        <v>2.4000000000000004</v>
      </c>
      <c r="V26" s="104">
        <f t="shared" si="20"/>
        <v>2.4000000000000004</v>
      </c>
      <c r="W26" s="104">
        <f t="shared" si="20"/>
        <v>2.4000000000000004</v>
      </c>
      <c r="X26" s="104">
        <f t="shared" si="20"/>
        <v>2.4000000000000004</v>
      </c>
      <c r="Y26" s="104">
        <f t="shared" si="20"/>
        <v>2.4000000000000004</v>
      </c>
      <c r="Z26" s="104">
        <f t="shared" si="20"/>
        <v>4.5</v>
      </c>
      <c r="AA26" s="104">
        <f t="shared" si="20"/>
        <v>4.5</v>
      </c>
      <c r="AB26" s="104">
        <f t="shared" si="20"/>
        <v>4.5</v>
      </c>
      <c r="AC26" s="104">
        <f t="shared" si="20"/>
        <v>4.5</v>
      </c>
      <c r="AD26" s="104">
        <f t="shared" si="20"/>
        <v>4.5</v>
      </c>
      <c r="AE26" s="104">
        <f t="shared" si="20"/>
        <v>4.5</v>
      </c>
      <c r="AF26" s="104">
        <f t="shared" si="20"/>
        <v>4.5</v>
      </c>
      <c r="AG26" s="104">
        <f t="shared" si="20"/>
        <v>4.5</v>
      </c>
      <c r="AH26" s="104">
        <f t="shared" si="20"/>
        <v>4.5</v>
      </c>
      <c r="AI26" s="104">
        <f t="shared" si="20"/>
        <v>4.5</v>
      </c>
      <c r="AJ26" s="104">
        <f t="shared" si="20"/>
        <v>4.5</v>
      </c>
      <c r="AK26" s="104">
        <f t="shared" si="20"/>
        <v>4.5</v>
      </c>
      <c r="AL26" s="104">
        <f t="shared" si="20"/>
        <v>6</v>
      </c>
      <c r="AM26" s="104">
        <f t="shared" si="20"/>
        <v>6</v>
      </c>
      <c r="AN26" s="104">
        <f t="shared" si="20"/>
        <v>6</v>
      </c>
      <c r="AO26" s="104">
        <f t="shared" si="20"/>
        <v>6</v>
      </c>
      <c r="AP26" s="104">
        <f t="shared" si="20"/>
        <v>6</v>
      </c>
      <c r="AQ26" s="104">
        <f t="shared" si="20"/>
        <v>6</v>
      </c>
      <c r="AR26" s="104">
        <f t="shared" si="20"/>
        <v>6</v>
      </c>
      <c r="AS26" s="104">
        <f t="shared" si="20"/>
        <v>6</v>
      </c>
      <c r="AT26" s="104">
        <f t="shared" si="20"/>
        <v>6</v>
      </c>
      <c r="AU26" s="104">
        <f t="shared" si="20"/>
        <v>6</v>
      </c>
      <c r="AV26" s="104">
        <f t="shared" si="20"/>
        <v>6</v>
      </c>
      <c r="AW26" s="104">
        <f t="shared" si="20"/>
        <v>6</v>
      </c>
      <c r="AX26" s="104">
        <f t="shared" si="20"/>
        <v>6</v>
      </c>
      <c r="AY26" s="104">
        <f t="shared" si="20"/>
        <v>6</v>
      </c>
      <c r="AZ26" s="104">
        <f t="shared" si="20"/>
        <v>6</v>
      </c>
      <c r="BA26" s="104">
        <f t="shared" si="20"/>
        <v>6</v>
      </c>
      <c r="BB26" s="104">
        <f t="shared" si="20"/>
        <v>6</v>
      </c>
      <c r="BC26" s="104">
        <f t="shared" si="20"/>
        <v>6</v>
      </c>
      <c r="BD26" s="104">
        <f t="shared" si="20"/>
        <v>6</v>
      </c>
      <c r="BE26" s="104">
        <f t="shared" si="20"/>
        <v>6</v>
      </c>
      <c r="BF26" s="104">
        <f t="shared" si="20"/>
        <v>6</v>
      </c>
      <c r="BG26" s="104">
        <f t="shared" si="20"/>
        <v>6</v>
      </c>
      <c r="BH26" s="104">
        <f t="shared" si="20"/>
        <v>6</v>
      </c>
      <c r="BI26" s="104">
        <f t="shared" si="20"/>
        <v>6</v>
      </c>
      <c r="BJ26" s="104">
        <f t="shared" si="20"/>
        <v>6</v>
      </c>
      <c r="BK26" s="104">
        <f t="shared" si="20"/>
        <v>6</v>
      </c>
      <c r="BL26" s="104">
        <f t="shared" si="20"/>
        <v>6</v>
      </c>
      <c r="BM26" s="104">
        <f t="shared" si="20"/>
        <v>6</v>
      </c>
      <c r="BN26" s="104">
        <f t="shared" si="20"/>
        <v>6</v>
      </c>
      <c r="BO26" s="104">
        <f t="shared" ref="BO26:CG26" si="21">BO25*12</f>
        <v>6</v>
      </c>
      <c r="BP26" s="104">
        <f t="shared" si="21"/>
        <v>6</v>
      </c>
      <c r="BQ26" s="104">
        <f t="shared" si="21"/>
        <v>6</v>
      </c>
      <c r="BR26" s="104">
        <f t="shared" si="21"/>
        <v>6</v>
      </c>
      <c r="BS26" s="104">
        <f t="shared" si="21"/>
        <v>6</v>
      </c>
      <c r="BT26" s="104">
        <f t="shared" si="21"/>
        <v>6</v>
      </c>
      <c r="BU26" s="104">
        <f t="shared" si="21"/>
        <v>6</v>
      </c>
      <c r="BV26" s="104">
        <f t="shared" si="21"/>
        <v>6</v>
      </c>
      <c r="BW26" s="104">
        <f t="shared" si="21"/>
        <v>6</v>
      </c>
      <c r="BX26" s="104">
        <f t="shared" si="21"/>
        <v>6</v>
      </c>
      <c r="BY26" s="104">
        <f t="shared" si="21"/>
        <v>6</v>
      </c>
      <c r="BZ26" s="104">
        <f t="shared" si="21"/>
        <v>6</v>
      </c>
      <c r="CA26" s="104">
        <f t="shared" si="21"/>
        <v>6</v>
      </c>
      <c r="CB26" s="104">
        <f t="shared" si="21"/>
        <v>6</v>
      </c>
      <c r="CC26" s="104">
        <f t="shared" si="21"/>
        <v>6</v>
      </c>
      <c r="CD26" s="104">
        <f t="shared" si="21"/>
        <v>6</v>
      </c>
      <c r="CE26" s="104">
        <f t="shared" si="21"/>
        <v>6</v>
      </c>
      <c r="CF26" s="104">
        <f t="shared" si="21"/>
        <v>6</v>
      </c>
      <c r="CG26" s="104">
        <f t="shared" si="21"/>
        <v>6</v>
      </c>
    </row>
    <row r="27" spans="1:85" s="22" customForma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</row>
    <row r="28" spans="1:85" s="103" customFormat="1" x14ac:dyDescent="0.2">
      <c r="A28" s="103" t="s">
        <v>310</v>
      </c>
      <c r="B28" s="108">
        <f>B15*B25</f>
        <v>0</v>
      </c>
      <c r="C28" s="108">
        <f t="shared" ref="C28:BN28" si="22">C15*C25</f>
        <v>0</v>
      </c>
      <c r="D28" s="108">
        <f t="shared" si="22"/>
        <v>0</v>
      </c>
      <c r="E28" s="108">
        <f t="shared" si="22"/>
        <v>0</v>
      </c>
      <c r="F28" s="108">
        <f t="shared" si="22"/>
        <v>0</v>
      </c>
      <c r="G28" s="108">
        <f t="shared" si="22"/>
        <v>0</v>
      </c>
      <c r="H28" s="108">
        <f t="shared" si="22"/>
        <v>0</v>
      </c>
      <c r="I28" s="108">
        <f t="shared" si="22"/>
        <v>0</v>
      </c>
      <c r="J28" s="108">
        <f t="shared" si="22"/>
        <v>0</v>
      </c>
      <c r="K28" s="108">
        <f t="shared" si="22"/>
        <v>0</v>
      </c>
      <c r="L28" s="108">
        <f t="shared" si="22"/>
        <v>0</v>
      </c>
      <c r="M28" s="108">
        <f t="shared" si="22"/>
        <v>0</v>
      </c>
      <c r="N28" s="108">
        <f t="shared" si="22"/>
        <v>27208</v>
      </c>
      <c r="O28" s="108">
        <f t="shared" si="22"/>
        <v>37658</v>
      </c>
      <c r="P28" s="108">
        <f t="shared" si="22"/>
        <v>48108</v>
      </c>
      <c r="Q28" s="108">
        <f t="shared" si="22"/>
        <v>58558</v>
      </c>
      <c r="R28" s="108">
        <f t="shared" si="22"/>
        <v>69008</v>
      </c>
      <c r="S28" s="108">
        <f t="shared" si="22"/>
        <v>79458</v>
      </c>
      <c r="T28" s="108">
        <f t="shared" si="22"/>
        <v>89908</v>
      </c>
      <c r="U28" s="108">
        <f t="shared" si="22"/>
        <v>100358</v>
      </c>
      <c r="V28" s="108">
        <f t="shared" si="22"/>
        <v>110808</v>
      </c>
      <c r="W28" s="108">
        <f t="shared" si="22"/>
        <v>121258</v>
      </c>
      <c r="X28" s="108">
        <f t="shared" si="22"/>
        <v>131708</v>
      </c>
      <c r="Y28" s="108">
        <f t="shared" si="22"/>
        <v>142158</v>
      </c>
      <c r="Z28" s="108">
        <f t="shared" si="22"/>
        <v>423296.25</v>
      </c>
      <c r="AA28" s="108">
        <f t="shared" si="22"/>
        <v>580046.25</v>
      </c>
      <c r="AB28" s="108">
        <f t="shared" si="22"/>
        <v>736796.25</v>
      </c>
      <c r="AC28" s="108">
        <f t="shared" si="22"/>
        <v>893546.25</v>
      </c>
      <c r="AD28" s="108">
        <f t="shared" si="22"/>
        <v>1050296.25</v>
      </c>
      <c r="AE28" s="108">
        <f t="shared" si="22"/>
        <v>1207046.25</v>
      </c>
      <c r="AF28" s="108">
        <f t="shared" si="22"/>
        <v>1363796.25</v>
      </c>
      <c r="AG28" s="108">
        <f t="shared" si="22"/>
        <v>1520546.25</v>
      </c>
      <c r="AH28" s="108">
        <f t="shared" si="22"/>
        <v>1677296.25</v>
      </c>
      <c r="AI28" s="108">
        <f t="shared" si="22"/>
        <v>1834046.25</v>
      </c>
      <c r="AJ28" s="108">
        <f t="shared" si="22"/>
        <v>1990796.25</v>
      </c>
      <c r="AK28" s="108">
        <f t="shared" si="22"/>
        <v>2147546.25</v>
      </c>
      <c r="AL28" s="108">
        <f t="shared" si="22"/>
        <v>3072395</v>
      </c>
      <c r="AM28" s="108">
        <f t="shared" si="22"/>
        <v>3281395</v>
      </c>
      <c r="AN28" s="108">
        <f t="shared" si="22"/>
        <v>3490395</v>
      </c>
      <c r="AO28" s="108">
        <f t="shared" si="22"/>
        <v>3699395</v>
      </c>
      <c r="AP28" s="108">
        <f t="shared" si="22"/>
        <v>3908395</v>
      </c>
      <c r="AQ28" s="108">
        <f t="shared" si="22"/>
        <v>4117395</v>
      </c>
      <c r="AR28" s="108">
        <f t="shared" si="22"/>
        <v>4326395</v>
      </c>
      <c r="AS28" s="108">
        <f t="shared" si="22"/>
        <v>4535395</v>
      </c>
      <c r="AT28" s="108">
        <f t="shared" si="22"/>
        <v>4744395</v>
      </c>
      <c r="AU28" s="108">
        <f t="shared" si="22"/>
        <v>4953395</v>
      </c>
      <c r="AV28" s="108">
        <f t="shared" si="22"/>
        <v>5162395</v>
      </c>
      <c r="AW28" s="108">
        <f t="shared" si="22"/>
        <v>5371395</v>
      </c>
      <c r="AX28" s="108">
        <f t="shared" si="22"/>
        <v>5580395</v>
      </c>
      <c r="AY28" s="108">
        <f t="shared" si="22"/>
        <v>5789395</v>
      </c>
      <c r="AZ28" s="108">
        <f t="shared" si="22"/>
        <v>5998395</v>
      </c>
      <c r="BA28" s="108">
        <f t="shared" si="22"/>
        <v>6207395</v>
      </c>
      <c r="BB28" s="108">
        <f t="shared" si="22"/>
        <v>6416395</v>
      </c>
      <c r="BC28" s="108">
        <f t="shared" si="22"/>
        <v>6625395</v>
      </c>
      <c r="BD28" s="108">
        <f t="shared" si="22"/>
        <v>6834395</v>
      </c>
      <c r="BE28" s="108">
        <f t="shared" si="22"/>
        <v>7043395</v>
      </c>
      <c r="BF28" s="108">
        <f t="shared" si="22"/>
        <v>7252395</v>
      </c>
      <c r="BG28" s="108">
        <f t="shared" si="22"/>
        <v>7461395</v>
      </c>
      <c r="BH28" s="108">
        <f t="shared" si="22"/>
        <v>7670395</v>
      </c>
      <c r="BI28" s="108">
        <f t="shared" si="22"/>
        <v>7879395</v>
      </c>
      <c r="BJ28" s="108">
        <f t="shared" si="22"/>
        <v>8088395</v>
      </c>
      <c r="BK28" s="108">
        <f t="shared" si="22"/>
        <v>8297395</v>
      </c>
      <c r="BL28" s="108">
        <f t="shared" si="22"/>
        <v>8506395</v>
      </c>
      <c r="BM28" s="108">
        <f t="shared" si="22"/>
        <v>8715395</v>
      </c>
      <c r="BN28" s="108">
        <f t="shared" si="22"/>
        <v>8924395</v>
      </c>
      <c r="BO28" s="108">
        <f t="shared" ref="BO28:CF28" si="23">BO15*BO25</f>
        <v>9133395</v>
      </c>
      <c r="BP28" s="108">
        <f t="shared" si="23"/>
        <v>9342395</v>
      </c>
      <c r="BQ28" s="108">
        <f t="shared" si="23"/>
        <v>9551395</v>
      </c>
      <c r="BR28" s="108">
        <f t="shared" si="23"/>
        <v>9760395</v>
      </c>
      <c r="BS28" s="108">
        <f t="shared" si="23"/>
        <v>9969395</v>
      </c>
      <c r="BT28" s="108">
        <f t="shared" si="23"/>
        <v>10178395</v>
      </c>
      <c r="BU28" s="108">
        <f t="shared" si="23"/>
        <v>10387395</v>
      </c>
      <c r="BV28" s="108">
        <f t="shared" si="23"/>
        <v>10596395</v>
      </c>
      <c r="BW28" s="108">
        <f t="shared" si="23"/>
        <v>10805395</v>
      </c>
      <c r="BX28" s="108">
        <f t="shared" si="23"/>
        <v>11014395</v>
      </c>
      <c r="BY28" s="108">
        <f t="shared" si="23"/>
        <v>11223395</v>
      </c>
      <c r="BZ28" s="108">
        <f t="shared" si="23"/>
        <v>11432395</v>
      </c>
      <c r="CA28" s="108">
        <f t="shared" si="23"/>
        <v>11641395</v>
      </c>
      <c r="CB28" s="108">
        <f t="shared" si="23"/>
        <v>11850395</v>
      </c>
      <c r="CC28" s="108">
        <f t="shared" si="23"/>
        <v>12059395</v>
      </c>
      <c r="CD28" s="108">
        <f t="shared" si="23"/>
        <v>12268395</v>
      </c>
      <c r="CE28" s="108">
        <f t="shared" si="23"/>
        <v>12477395</v>
      </c>
      <c r="CF28" s="108">
        <f t="shared" si="23"/>
        <v>12686395</v>
      </c>
      <c r="CG28" s="108">
        <f>CG15*CG25</f>
        <v>12895395</v>
      </c>
    </row>
    <row r="29" spans="1:85" s="22" customForma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</row>
    <row r="30" spans="1:85" s="11" customFormat="1" x14ac:dyDescent="0.2">
      <c r="A30" s="9" t="s">
        <v>261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</row>
    <row r="31" spans="1:85" s="11" customFormat="1" x14ac:dyDescent="0.2">
      <c r="A31" s="22" t="s">
        <v>259</v>
      </c>
      <c r="B31" s="106">
        <v>15000</v>
      </c>
      <c r="C31" s="106">
        <v>15000</v>
      </c>
      <c r="D31" s="106">
        <v>15000</v>
      </c>
      <c r="E31" s="106">
        <v>15000</v>
      </c>
      <c r="F31" s="106">
        <v>15000</v>
      </c>
      <c r="G31" s="106">
        <v>15000</v>
      </c>
      <c r="H31" s="106">
        <v>15000</v>
      </c>
      <c r="I31" s="106">
        <v>15000</v>
      </c>
      <c r="J31" s="106">
        <v>15000</v>
      </c>
      <c r="K31" s="106">
        <v>15000</v>
      </c>
      <c r="L31" s="106">
        <v>15000</v>
      </c>
      <c r="M31" s="106">
        <v>15000</v>
      </c>
      <c r="N31" s="106">
        <v>15000</v>
      </c>
      <c r="O31" s="106">
        <v>15000</v>
      </c>
      <c r="P31" s="106">
        <v>15000</v>
      </c>
      <c r="Q31" s="106">
        <v>15000</v>
      </c>
      <c r="R31" s="106">
        <v>15000</v>
      </c>
      <c r="S31" s="106">
        <v>15000</v>
      </c>
      <c r="T31" s="106">
        <v>15000</v>
      </c>
      <c r="U31" s="106">
        <v>15000</v>
      </c>
      <c r="V31" s="106">
        <v>15000</v>
      </c>
      <c r="W31" s="106">
        <v>15000</v>
      </c>
      <c r="X31" s="106">
        <v>15000</v>
      </c>
      <c r="Y31" s="106">
        <v>15000</v>
      </c>
      <c r="Z31" s="106">
        <v>15000</v>
      </c>
      <c r="AA31" s="106">
        <v>15000</v>
      </c>
      <c r="AB31" s="106">
        <v>15000</v>
      </c>
      <c r="AC31" s="106">
        <v>15000</v>
      </c>
      <c r="AD31" s="106">
        <v>15000</v>
      </c>
      <c r="AE31" s="106">
        <v>15000</v>
      </c>
      <c r="AF31" s="106">
        <v>15000</v>
      </c>
      <c r="AG31" s="106">
        <v>15000</v>
      </c>
      <c r="AH31" s="106">
        <v>15000</v>
      </c>
      <c r="AI31" s="106">
        <v>15000</v>
      </c>
      <c r="AJ31" s="106">
        <v>15000</v>
      </c>
      <c r="AK31" s="106">
        <v>15000</v>
      </c>
      <c r="AL31" s="106">
        <v>15000</v>
      </c>
      <c r="AM31" s="106">
        <v>15000</v>
      </c>
      <c r="AN31" s="106">
        <v>15000</v>
      </c>
      <c r="AO31" s="106">
        <v>15000</v>
      </c>
      <c r="AP31" s="106">
        <v>15000</v>
      </c>
      <c r="AQ31" s="106">
        <v>15000</v>
      </c>
      <c r="AR31" s="106">
        <v>15000</v>
      </c>
      <c r="AS31" s="106">
        <v>15000</v>
      </c>
      <c r="AT31" s="106">
        <v>15000</v>
      </c>
      <c r="AU31" s="106">
        <v>15000</v>
      </c>
      <c r="AV31" s="106">
        <v>15000</v>
      </c>
      <c r="AW31" s="106">
        <v>15000</v>
      </c>
      <c r="AX31" s="106">
        <v>15000</v>
      </c>
      <c r="AY31" s="106">
        <v>15000</v>
      </c>
      <c r="AZ31" s="106">
        <v>15000</v>
      </c>
      <c r="BA31" s="106">
        <v>15000</v>
      </c>
      <c r="BB31" s="106">
        <v>15000</v>
      </c>
      <c r="BC31" s="106">
        <v>15000</v>
      </c>
      <c r="BD31" s="106">
        <v>15000</v>
      </c>
      <c r="BE31" s="106">
        <v>15000</v>
      </c>
      <c r="BF31" s="106">
        <v>15000</v>
      </c>
      <c r="BG31" s="106">
        <v>15000</v>
      </c>
      <c r="BH31" s="106">
        <v>15000</v>
      </c>
      <c r="BI31" s="106">
        <v>15000</v>
      </c>
      <c r="BJ31" s="106">
        <v>15000</v>
      </c>
      <c r="BK31" s="106">
        <v>15000</v>
      </c>
      <c r="BL31" s="106">
        <v>15000</v>
      </c>
      <c r="BM31" s="106">
        <v>15000</v>
      </c>
      <c r="BN31" s="106">
        <v>15000</v>
      </c>
      <c r="BO31" s="106">
        <v>15000</v>
      </c>
      <c r="BP31" s="106">
        <v>15000</v>
      </c>
      <c r="BQ31" s="106">
        <v>15000</v>
      </c>
      <c r="BR31" s="106">
        <v>15000</v>
      </c>
      <c r="BS31" s="106">
        <v>15000</v>
      </c>
      <c r="BT31" s="106">
        <v>15000</v>
      </c>
      <c r="BU31" s="106">
        <v>15000</v>
      </c>
      <c r="BV31" s="106">
        <v>15000</v>
      </c>
      <c r="BW31" s="106">
        <v>15000</v>
      </c>
      <c r="BX31" s="106">
        <v>15000</v>
      </c>
      <c r="BY31" s="106">
        <v>15000</v>
      </c>
      <c r="BZ31" s="106">
        <v>15000</v>
      </c>
      <c r="CA31" s="106">
        <v>15000</v>
      </c>
      <c r="CB31" s="106">
        <v>15000</v>
      </c>
      <c r="CC31" s="106">
        <v>15000</v>
      </c>
      <c r="CD31" s="106">
        <v>15000</v>
      </c>
      <c r="CE31" s="106">
        <v>15000</v>
      </c>
      <c r="CF31" s="106">
        <v>15000</v>
      </c>
      <c r="CG31" s="106">
        <v>15000</v>
      </c>
    </row>
    <row r="32" spans="1:85" s="11" customFormat="1" x14ac:dyDescent="0.2">
      <c r="A32" s="22" t="s">
        <v>244</v>
      </c>
      <c r="B32" s="106">
        <v>100</v>
      </c>
      <c r="C32" s="106">
        <v>100</v>
      </c>
      <c r="D32" s="106">
        <v>100</v>
      </c>
      <c r="E32" s="106">
        <v>100</v>
      </c>
      <c r="F32" s="106">
        <v>100</v>
      </c>
      <c r="G32" s="106">
        <v>100</v>
      </c>
      <c r="H32" s="106">
        <v>100</v>
      </c>
      <c r="I32" s="106">
        <v>100</v>
      </c>
      <c r="J32" s="106">
        <v>100</v>
      </c>
      <c r="K32" s="106">
        <v>100</v>
      </c>
      <c r="L32" s="106">
        <v>100</v>
      </c>
      <c r="M32" s="106">
        <v>100</v>
      </c>
      <c r="N32" s="106">
        <v>100</v>
      </c>
      <c r="O32" s="106">
        <v>100</v>
      </c>
      <c r="P32" s="106">
        <v>100</v>
      </c>
      <c r="Q32" s="106">
        <v>100</v>
      </c>
      <c r="R32" s="106">
        <v>100</v>
      </c>
      <c r="S32" s="106">
        <v>100</v>
      </c>
      <c r="T32" s="106">
        <v>100</v>
      </c>
      <c r="U32" s="106">
        <v>100</v>
      </c>
      <c r="V32" s="106">
        <v>100</v>
      </c>
      <c r="W32" s="106">
        <v>100</v>
      </c>
      <c r="X32" s="106">
        <v>100</v>
      </c>
      <c r="Y32" s="106">
        <v>100</v>
      </c>
      <c r="Z32" s="106">
        <v>100</v>
      </c>
      <c r="AA32" s="106">
        <v>100</v>
      </c>
      <c r="AB32" s="106">
        <v>100</v>
      </c>
      <c r="AC32" s="106">
        <v>100</v>
      </c>
      <c r="AD32" s="106">
        <v>100</v>
      </c>
      <c r="AE32" s="106">
        <v>100</v>
      </c>
      <c r="AF32" s="106">
        <v>100</v>
      </c>
      <c r="AG32" s="106">
        <v>100</v>
      </c>
      <c r="AH32" s="106">
        <v>100</v>
      </c>
      <c r="AI32" s="106">
        <v>100</v>
      </c>
      <c r="AJ32" s="106">
        <v>100</v>
      </c>
      <c r="AK32" s="106">
        <v>100</v>
      </c>
      <c r="AL32" s="106">
        <v>100</v>
      </c>
      <c r="AM32" s="106">
        <v>100</v>
      </c>
      <c r="AN32" s="106">
        <v>100</v>
      </c>
      <c r="AO32" s="106">
        <v>100</v>
      </c>
      <c r="AP32" s="106">
        <v>100</v>
      </c>
      <c r="AQ32" s="106">
        <v>100</v>
      </c>
      <c r="AR32" s="106">
        <v>100</v>
      </c>
      <c r="AS32" s="106">
        <v>100</v>
      </c>
      <c r="AT32" s="106">
        <v>100</v>
      </c>
      <c r="AU32" s="106">
        <v>100</v>
      </c>
      <c r="AV32" s="106">
        <v>100</v>
      </c>
      <c r="AW32" s="106">
        <v>100</v>
      </c>
      <c r="AX32" s="106">
        <v>100</v>
      </c>
      <c r="AY32" s="106">
        <v>100</v>
      </c>
      <c r="AZ32" s="106">
        <v>100</v>
      </c>
      <c r="BA32" s="106">
        <v>100</v>
      </c>
      <c r="BB32" s="106">
        <v>100</v>
      </c>
      <c r="BC32" s="106">
        <v>100</v>
      </c>
      <c r="BD32" s="106">
        <v>100</v>
      </c>
      <c r="BE32" s="106">
        <v>100</v>
      </c>
      <c r="BF32" s="106">
        <v>100</v>
      </c>
      <c r="BG32" s="106">
        <v>100</v>
      </c>
      <c r="BH32" s="106">
        <v>100</v>
      </c>
      <c r="BI32" s="106">
        <v>100</v>
      </c>
      <c r="BJ32" s="106">
        <v>100</v>
      </c>
      <c r="BK32" s="106">
        <v>100</v>
      </c>
      <c r="BL32" s="106">
        <v>100</v>
      </c>
      <c r="BM32" s="106">
        <v>100</v>
      </c>
      <c r="BN32" s="106">
        <v>100</v>
      </c>
      <c r="BO32" s="106">
        <v>100</v>
      </c>
      <c r="BP32" s="106">
        <v>100</v>
      </c>
      <c r="BQ32" s="106">
        <v>100</v>
      </c>
      <c r="BR32" s="106">
        <v>100</v>
      </c>
      <c r="BS32" s="106">
        <v>100</v>
      </c>
      <c r="BT32" s="106">
        <v>100</v>
      </c>
      <c r="BU32" s="106">
        <v>100</v>
      </c>
      <c r="BV32" s="106">
        <v>100</v>
      </c>
      <c r="BW32" s="106">
        <v>100</v>
      </c>
      <c r="BX32" s="106">
        <v>100</v>
      </c>
      <c r="BY32" s="106">
        <v>100</v>
      </c>
      <c r="BZ32" s="106">
        <v>100</v>
      </c>
      <c r="CA32" s="106">
        <v>100</v>
      </c>
      <c r="CB32" s="106">
        <v>100</v>
      </c>
      <c r="CC32" s="106">
        <v>100</v>
      </c>
      <c r="CD32" s="106">
        <v>100</v>
      </c>
      <c r="CE32" s="106">
        <v>100</v>
      </c>
      <c r="CF32" s="106">
        <v>100</v>
      </c>
      <c r="CG32" s="106">
        <v>100</v>
      </c>
    </row>
    <row r="33" spans="1:85" s="11" customFormat="1" x14ac:dyDescent="0.2">
      <c r="A33" s="22" t="s">
        <v>262</v>
      </c>
      <c r="B33" s="27">
        <f>B31/B32</f>
        <v>150</v>
      </c>
      <c r="C33" s="27">
        <f t="shared" ref="C33:BN33" si="24">C31/C32</f>
        <v>150</v>
      </c>
      <c r="D33" s="27">
        <f t="shared" si="24"/>
        <v>150</v>
      </c>
      <c r="E33" s="27">
        <f t="shared" si="24"/>
        <v>150</v>
      </c>
      <c r="F33" s="27">
        <f t="shared" si="24"/>
        <v>150</v>
      </c>
      <c r="G33" s="27">
        <f t="shared" si="24"/>
        <v>150</v>
      </c>
      <c r="H33" s="27">
        <f t="shared" si="24"/>
        <v>150</v>
      </c>
      <c r="I33" s="27">
        <f t="shared" si="24"/>
        <v>150</v>
      </c>
      <c r="J33" s="27">
        <f t="shared" si="24"/>
        <v>150</v>
      </c>
      <c r="K33" s="27">
        <f t="shared" si="24"/>
        <v>150</v>
      </c>
      <c r="L33" s="27">
        <f t="shared" si="24"/>
        <v>150</v>
      </c>
      <c r="M33" s="27">
        <f t="shared" si="24"/>
        <v>150</v>
      </c>
      <c r="N33" s="27">
        <f t="shared" si="24"/>
        <v>150</v>
      </c>
      <c r="O33" s="27">
        <f t="shared" si="24"/>
        <v>150</v>
      </c>
      <c r="P33" s="27">
        <f t="shared" si="24"/>
        <v>150</v>
      </c>
      <c r="Q33" s="27">
        <f t="shared" si="24"/>
        <v>150</v>
      </c>
      <c r="R33" s="27">
        <f t="shared" si="24"/>
        <v>150</v>
      </c>
      <c r="S33" s="27">
        <f t="shared" si="24"/>
        <v>150</v>
      </c>
      <c r="T33" s="27">
        <f t="shared" si="24"/>
        <v>150</v>
      </c>
      <c r="U33" s="27">
        <f t="shared" si="24"/>
        <v>150</v>
      </c>
      <c r="V33" s="27">
        <f t="shared" si="24"/>
        <v>150</v>
      </c>
      <c r="W33" s="27">
        <f t="shared" si="24"/>
        <v>150</v>
      </c>
      <c r="X33" s="27">
        <f t="shared" si="24"/>
        <v>150</v>
      </c>
      <c r="Y33" s="27">
        <f t="shared" si="24"/>
        <v>150</v>
      </c>
      <c r="Z33" s="27">
        <f t="shared" si="24"/>
        <v>150</v>
      </c>
      <c r="AA33" s="27">
        <f t="shared" si="24"/>
        <v>150</v>
      </c>
      <c r="AB33" s="27">
        <f t="shared" si="24"/>
        <v>150</v>
      </c>
      <c r="AC33" s="27">
        <f t="shared" si="24"/>
        <v>150</v>
      </c>
      <c r="AD33" s="27">
        <f t="shared" si="24"/>
        <v>150</v>
      </c>
      <c r="AE33" s="27">
        <f t="shared" si="24"/>
        <v>150</v>
      </c>
      <c r="AF33" s="27">
        <f t="shared" si="24"/>
        <v>150</v>
      </c>
      <c r="AG33" s="27">
        <f t="shared" si="24"/>
        <v>150</v>
      </c>
      <c r="AH33" s="27">
        <f t="shared" si="24"/>
        <v>150</v>
      </c>
      <c r="AI33" s="27">
        <f t="shared" si="24"/>
        <v>150</v>
      </c>
      <c r="AJ33" s="27">
        <f t="shared" si="24"/>
        <v>150</v>
      </c>
      <c r="AK33" s="27">
        <f t="shared" si="24"/>
        <v>150</v>
      </c>
      <c r="AL33" s="27">
        <f t="shared" si="24"/>
        <v>150</v>
      </c>
      <c r="AM33" s="27">
        <f t="shared" si="24"/>
        <v>150</v>
      </c>
      <c r="AN33" s="27">
        <f t="shared" si="24"/>
        <v>150</v>
      </c>
      <c r="AO33" s="27">
        <f t="shared" si="24"/>
        <v>150</v>
      </c>
      <c r="AP33" s="27">
        <f t="shared" si="24"/>
        <v>150</v>
      </c>
      <c r="AQ33" s="27">
        <f t="shared" si="24"/>
        <v>150</v>
      </c>
      <c r="AR33" s="27">
        <f t="shared" si="24"/>
        <v>150</v>
      </c>
      <c r="AS33" s="27">
        <f t="shared" si="24"/>
        <v>150</v>
      </c>
      <c r="AT33" s="27">
        <f t="shared" si="24"/>
        <v>150</v>
      </c>
      <c r="AU33" s="27">
        <f t="shared" si="24"/>
        <v>150</v>
      </c>
      <c r="AV33" s="27">
        <f t="shared" si="24"/>
        <v>150</v>
      </c>
      <c r="AW33" s="27">
        <f t="shared" si="24"/>
        <v>150</v>
      </c>
      <c r="AX33" s="27">
        <f t="shared" si="24"/>
        <v>150</v>
      </c>
      <c r="AY33" s="27">
        <f t="shared" si="24"/>
        <v>150</v>
      </c>
      <c r="AZ33" s="27">
        <f t="shared" si="24"/>
        <v>150</v>
      </c>
      <c r="BA33" s="27">
        <f t="shared" si="24"/>
        <v>150</v>
      </c>
      <c r="BB33" s="27">
        <f t="shared" si="24"/>
        <v>150</v>
      </c>
      <c r="BC33" s="27">
        <f t="shared" si="24"/>
        <v>150</v>
      </c>
      <c r="BD33" s="27">
        <f t="shared" si="24"/>
        <v>150</v>
      </c>
      <c r="BE33" s="27">
        <f t="shared" si="24"/>
        <v>150</v>
      </c>
      <c r="BF33" s="27">
        <f t="shared" si="24"/>
        <v>150</v>
      </c>
      <c r="BG33" s="27">
        <f t="shared" si="24"/>
        <v>150</v>
      </c>
      <c r="BH33" s="27">
        <f t="shared" si="24"/>
        <v>150</v>
      </c>
      <c r="BI33" s="27">
        <f t="shared" si="24"/>
        <v>150</v>
      </c>
      <c r="BJ33" s="27">
        <f t="shared" si="24"/>
        <v>150</v>
      </c>
      <c r="BK33" s="27">
        <f t="shared" si="24"/>
        <v>150</v>
      </c>
      <c r="BL33" s="27">
        <f t="shared" si="24"/>
        <v>150</v>
      </c>
      <c r="BM33" s="27">
        <f t="shared" si="24"/>
        <v>150</v>
      </c>
      <c r="BN33" s="27">
        <f t="shared" si="24"/>
        <v>150</v>
      </c>
      <c r="BO33" s="27">
        <f t="shared" ref="BO33:CG33" si="25">BO31/BO32</f>
        <v>150</v>
      </c>
      <c r="BP33" s="27">
        <f t="shared" si="25"/>
        <v>150</v>
      </c>
      <c r="BQ33" s="27">
        <f t="shared" si="25"/>
        <v>150</v>
      </c>
      <c r="BR33" s="27">
        <f t="shared" si="25"/>
        <v>150</v>
      </c>
      <c r="BS33" s="27">
        <f t="shared" si="25"/>
        <v>150</v>
      </c>
      <c r="BT33" s="27">
        <f t="shared" si="25"/>
        <v>150</v>
      </c>
      <c r="BU33" s="27">
        <f t="shared" si="25"/>
        <v>150</v>
      </c>
      <c r="BV33" s="27">
        <f t="shared" si="25"/>
        <v>150</v>
      </c>
      <c r="BW33" s="27">
        <f t="shared" si="25"/>
        <v>150</v>
      </c>
      <c r="BX33" s="27">
        <f t="shared" si="25"/>
        <v>150</v>
      </c>
      <c r="BY33" s="27">
        <f t="shared" si="25"/>
        <v>150</v>
      </c>
      <c r="BZ33" s="27">
        <f t="shared" si="25"/>
        <v>150</v>
      </c>
      <c r="CA33" s="27">
        <f t="shared" si="25"/>
        <v>150</v>
      </c>
      <c r="CB33" s="27">
        <f t="shared" si="25"/>
        <v>150</v>
      </c>
      <c r="CC33" s="27">
        <f t="shared" si="25"/>
        <v>150</v>
      </c>
      <c r="CD33" s="27">
        <f t="shared" si="25"/>
        <v>150</v>
      </c>
      <c r="CE33" s="27">
        <f t="shared" si="25"/>
        <v>150</v>
      </c>
      <c r="CF33" s="27">
        <f t="shared" si="25"/>
        <v>150</v>
      </c>
      <c r="CG33" s="27">
        <f t="shared" si="25"/>
        <v>150</v>
      </c>
    </row>
    <row r="34" spans="1:85" s="11" customFormat="1" x14ac:dyDescent="0.2">
      <c r="A34" s="22" t="s">
        <v>246</v>
      </c>
      <c r="B34" s="109">
        <v>0.2</v>
      </c>
      <c r="C34" s="109">
        <v>0.2</v>
      </c>
      <c r="D34" s="109">
        <v>0.2</v>
      </c>
      <c r="E34" s="109">
        <v>0.2</v>
      </c>
      <c r="F34" s="109">
        <v>0.2</v>
      </c>
      <c r="G34" s="109">
        <v>0.2</v>
      </c>
      <c r="H34" s="109">
        <v>0.2</v>
      </c>
      <c r="I34" s="109">
        <v>0.2</v>
      </c>
      <c r="J34" s="109">
        <v>0.2</v>
      </c>
      <c r="K34" s="109">
        <v>0.2</v>
      </c>
      <c r="L34" s="109">
        <v>0.2</v>
      </c>
      <c r="M34" s="109">
        <v>0.2</v>
      </c>
      <c r="N34" s="109">
        <v>0.2</v>
      </c>
      <c r="O34" s="109">
        <v>0.2</v>
      </c>
      <c r="P34" s="109">
        <v>0.2</v>
      </c>
      <c r="Q34" s="109">
        <v>0.2</v>
      </c>
      <c r="R34" s="109">
        <v>0.2</v>
      </c>
      <c r="S34" s="109">
        <v>0.2</v>
      </c>
      <c r="T34" s="109">
        <v>0.2</v>
      </c>
      <c r="U34" s="109">
        <v>0.2</v>
      </c>
      <c r="V34" s="109">
        <v>0.2</v>
      </c>
      <c r="W34" s="109">
        <v>0.2</v>
      </c>
      <c r="X34" s="109">
        <v>0.2</v>
      </c>
      <c r="Y34" s="109">
        <v>0.2</v>
      </c>
      <c r="Z34" s="109">
        <v>0.2</v>
      </c>
      <c r="AA34" s="109">
        <v>0.2</v>
      </c>
      <c r="AB34" s="109">
        <v>0.2</v>
      </c>
      <c r="AC34" s="109">
        <v>0.2</v>
      </c>
      <c r="AD34" s="109">
        <v>0.2</v>
      </c>
      <c r="AE34" s="109">
        <v>0.2</v>
      </c>
      <c r="AF34" s="109">
        <v>0.2</v>
      </c>
      <c r="AG34" s="109">
        <v>0.2</v>
      </c>
      <c r="AH34" s="109">
        <v>0.2</v>
      </c>
      <c r="AI34" s="109">
        <v>0.2</v>
      </c>
      <c r="AJ34" s="109">
        <v>0.2</v>
      </c>
      <c r="AK34" s="109">
        <v>0.2</v>
      </c>
      <c r="AL34" s="109">
        <v>0.2</v>
      </c>
      <c r="AM34" s="109">
        <v>0.2</v>
      </c>
      <c r="AN34" s="109">
        <v>0.2</v>
      </c>
      <c r="AO34" s="109">
        <v>0.2</v>
      </c>
      <c r="AP34" s="109">
        <v>0.2</v>
      </c>
      <c r="AQ34" s="109">
        <v>0.2</v>
      </c>
      <c r="AR34" s="109">
        <v>0.2</v>
      </c>
      <c r="AS34" s="109">
        <v>0.2</v>
      </c>
      <c r="AT34" s="109">
        <v>0.2</v>
      </c>
      <c r="AU34" s="109">
        <v>0.2</v>
      </c>
      <c r="AV34" s="109">
        <v>0.2</v>
      </c>
      <c r="AW34" s="109">
        <v>0.2</v>
      </c>
      <c r="AX34" s="109">
        <v>0.2</v>
      </c>
      <c r="AY34" s="109">
        <v>0.2</v>
      </c>
      <c r="AZ34" s="109">
        <v>0.2</v>
      </c>
      <c r="BA34" s="109">
        <v>0.2</v>
      </c>
      <c r="BB34" s="109">
        <v>0.2</v>
      </c>
      <c r="BC34" s="109">
        <v>0.2</v>
      </c>
      <c r="BD34" s="109">
        <v>0.2</v>
      </c>
      <c r="BE34" s="109">
        <v>0.2</v>
      </c>
      <c r="BF34" s="109">
        <v>0.2</v>
      </c>
      <c r="BG34" s="109">
        <v>0.2</v>
      </c>
      <c r="BH34" s="109">
        <v>0.2</v>
      </c>
      <c r="BI34" s="109">
        <v>0.2</v>
      </c>
      <c r="BJ34" s="109">
        <v>0.2</v>
      </c>
      <c r="BK34" s="109">
        <v>0.2</v>
      </c>
      <c r="BL34" s="109">
        <v>0.2</v>
      </c>
      <c r="BM34" s="109">
        <v>0.2</v>
      </c>
      <c r="BN34" s="109">
        <v>0.2</v>
      </c>
      <c r="BO34" s="109">
        <v>0.2</v>
      </c>
      <c r="BP34" s="109">
        <v>0.2</v>
      </c>
      <c r="BQ34" s="109">
        <v>0.2</v>
      </c>
      <c r="BR34" s="109">
        <v>0.2</v>
      </c>
      <c r="BS34" s="109">
        <v>0.2</v>
      </c>
      <c r="BT34" s="109">
        <v>0.2</v>
      </c>
      <c r="BU34" s="109">
        <v>0.2</v>
      </c>
      <c r="BV34" s="109">
        <v>0.2</v>
      </c>
      <c r="BW34" s="109">
        <v>0.2</v>
      </c>
      <c r="BX34" s="109">
        <v>0.2</v>
      </c>
      <c r="BY34" s="109">
        <v>0.2</v>
      </c>
      <c r="BZ34" s="109">
        <v>0.2</v>
      </c>
      <c r="CA34" s="109">
        <v>0.2</v>
      </c>
      <c r="CB34" s="109">
        <v>0.2</v>
      </c>
      <c r="CC34" s="109">
        <v>0.2</v>
      </c>
      <c r="CD34" s="109">
        <v>0.2</v>
      </c>
      <c r="CE34" s="109">
        <v>0.2</v>
      </c>
      <c r="CF34" s="109">
        <v>0.2</v>
      </c>
      <c r="CG34" s="109">
        <v>0.2</v>
      </c>
    </row>
    <row r="35" spans="1:85" s="11" customFormat="1" x14ac:dyDescent="0.2">
      <c r="A35" s="22" t="s">
        <v>263</v>
      </c>
      <c r="B35" s="27">
        <f>B34*B33</f>
        <v>30</v>
      </c>
      <c r="C35" s="27">
        <f t="shared" ref="C35:BN35" si="26">C34*C33</f>
        <v>30</v>
      </c>
      <c r="D35" s="27">
        <f t="shared" si="26"/>
        <v>30</v>
      </c>
      <c r="E35" s="27">
        <f t="shared" si="26"/>
        <v>30</v>
      </c>
      <c r="F35" s="27">
        <f t="shared" si="26"/>
        <v>30</v>
      </c>
      <c r="G35" s="27">
        <f t="shared" si="26"/>
        <v>30</v>
      </c>
      <c r="H35" s="27">
        <f t="shared" si="26"/>
        <v>30</v>
      </c>
      <c r="I35" s="27">
        <f t="shared" si="26"/>
        <v>30</v>
      </c>
      <c r="J35" s="27">
        <f t="shared" si="26"/>
        <v>30</v>
      </c>
      <c r="K35" s="27">
        <f t="shared" si="26"/>
        <v>30</v>
      </c>
      <c r="L35" s="27">
        <f t="shared" si="26"/>
        <v>30</v>
      </c>
      <c r="M35" s="27">
        <f t="shared" si="26"/>
        <v>30</v>
      </c>
      <c r="N35" s="27">
        <f t="shared" si="26"/>
        <v>30</v>
      </c>
      <c r="O35" s="27">
        <f t="shared" si="26"/>
        <v>30</v>
      </c>
      <c r="P35" s="27">
        <f t="shared" si="26"/>
        <v>30</v>
      </c>
      <c r="Q35" s="27">
        <f t="shared" si="26"/>
        <v>30</v>
      </c>
      <c r="R35" s="27">
        <f t="shared" si="26"/>
        <v>30</v>
      </c>
      <c r="S35" s="27">
        <f t="shared" si="26"/>
        <v>30</v>
      </c>
      <c r="T35" s="27">
        <f t="shared" si="26"/>
        <v>30</v>
      </c>
      <c r="U35" s="27">
        <f t="shared" si="26"/>
        <v>30</v>
      </c>
      <c r="V35" s="27">
        <f t="shared" si="26"/>
        <v>30</v>
      </c>
      <c r="W35" s="27">
        <f t="shared" si="26"/>
        <v>30</v>
      </c>
      <c r="X35" s="27">
        <f t="shared" si="26"/>
        <v>30</v>
      </c>
      <c r="Y35" s="27">
        <f t="shared" si="26"/>
        <v>30</v>
      </c>
      <c r="Z35" s="27">
        <f t="shared" si="26"/>
        <v>30</v>
      </c>
      <c r="AA35" s="27">
        <f t="shared" si="26"/>
        <v>30</v>
      </c>
      <c r="AB35" s="27">
        <f t="shared" si="26"/>
        <v>30</v>
      </c>
      <c r="AC35" s="27">
        <f t="shared" si="26"/>
        <v>30</v>
      </c>
      <c r="AD35" s="27">
        <f t="shared" si="26"/>
        <v>30</v>
      </c>
      <c r="AE35" s="27">
        <f t="shared" si="26"/>
        <v>30</v>
      </c>
      <c r="AF35" s="27">
        <f t="shared" si="26"/>
        <v>30</v>
      </c>
      <c r="AG35" s="27">
        <f t="shared" si="26"/>
        <v>30</v>
      </c>
      <c r="AH35" s="27">
        <f t="shared" si="26"/>
        <v>30</v>
      </c>
      <c r="AI35" s="27">
        <f t="shared" si="26"/>
        <v>30</v>
      </c>
      <c r="AJ35" s="27">
        <f t="shared" si="26"/>
        <v>30</v>
      </c>
      <c r="AK35" s="27">
        <f t="shared" si="26"/>
        <v>30</v>
      </c>
      <c r="AL35" s="27">
        <f t="shared" si="26"/>
        <v>30</v>
      </c>
      <c r="AM35" s="27">
        <f t="shared" si="26"/>
        <v>30</v>
      </c>
      <c r="AN35" s="27">
        <f t="shared" si="26"/>
        <v>30</v>
      </c>
      <c r="AO35" s="27">
        <f t="shared" si="26"/>
        <v>30</v>
      </c>
      <c r="AP35" s="27">
        <f t="shared" si="26"/>
        <v>30</v>
      </c>
      <c r="AQ35" s="27">
        <f t="shared" si="26"/>
        <v>30</v>
      </c>
      <c r="AR35" s="27">
        <f t="shared" si="26"/>
        <v>30</v>
      </c>
      <c r="AS35" s="27">
        <f t="shared" si="26"/>
        <v>30</v>
      </c>
      <c r="AT35" s="27">
        <f t="shared" si="26"/>
        <v>30</v>
      </c>
      <c r="AU35" s="27">
        <f t="shared" si="26"/>
        <v>30</v>
      </c>
      <c r="AV35" s="27">
        <f t="shared" si="26"/>
        <v>30</v>
      </c>
      <c r="AW35" s="27">
        <f t="shared" si="26"/>
        <v>30</v>
      </c>
      <c r="AX35" s="27">
        <f t="shared" si="26"/>
        <v>30</v>
      </c>
      <c r="AY35" s="27">
        <f t="shared" si="26"/>
        <v>30</v>
      </c>
      <c r="AZ35" s="27">
        <f t="shared" si="26"/>
        <v>30</v>
      </c>
      <c r="BA35" s="27">
        <f t="shared" si="26"/>
        <v>30</v>
      </c>
      <c r="BB35" s="27">
        <f t="shared" si="26"/>
        <v>30</v>
      </c>
      <c r="BC35" s="27">
        <f t="shared" si="26"/>
        <v>30</v>
      </c>
      <c r="BD35" s="27">
        <f t="shared" si="26"/>
        <v>30</v>
      </c>
      <c r="BE35" s="27">
        <f t="shared" si="26"/>
        <v>30</v>
      </c>
      <c r="BF35" s="27">
        <f t="shared" si="26"/>
        <v>30</v>
      </c>
      <c r="BG35" s="27">
        <f t="shared" si="26"/>
        <v>30</v>
      </c>
      <c r="BH35" s="27">
        <f t="shared" si="26"/>
        <v>30</v>
      </c>
      <c r="BI35" s="27">
        <f t="shared" si="26"/>
        <v>30</v>
      </c>
      <c r="BJ35" s="27">
        <f t="shared" si="26"/>
        <v>30</v>
      </c>
      <c r="BK35" s="27">
        <f t="shared" si="26"/>
        <v>30</v>
      </c>
      <c r="BL35" s="27">
        <f t="shared" si="26"/>
        <v>30</v>
      </c>
      <c r="BM35" s="27">
        <f t="shared" si="26"/>
        <v>30</v>
      </c>
      <c r="BN35" s="27">
        <f t="shared" si="26"/>
        <v>30</v>
      </c>
      <c r="BO35" s="27">
        <f t="shared" ref="BO35:CG35" si="27">BO34*BO33</f>
        <v>30</v>
      </c>
      <c r="BP35" s="27">
        <f t="shared" si="27"/>
        <v>30</v>
      </c>
      <c r="BQ35" s="27">
        <f t="shared" si="27"/>
        <v>30</v>
      </c>
      <c r="BR35" s="27">
        <f t="shared" si="27"/>
        <v>30</v>
      </c>
      <c r="BS35" s="27">
        <f t="shared" si="27"/>
        <v>30</v>
      </c>
      <c r="BT35" s="27">
        <f t="shared" si="27"/>
        <v>30</v>
      </c>
      <c r="BU35" s="27">
        <f t="shared" si="27"/>
        <v>30</v>
      </c>
      <c r="BV35" s="27">
        <f t="shared" si="27"/>
        <v>30</v>
      </c>
      <c r="BW35" s="27">
        <f t="shared" si="27"/>
        <v>30</v>
      </c>
      <c r="BX35" s="27">
        <f t="shared" si="27"/>
        <v>30</v>
      </c>
      <c r="BY35" s="27">
        <f t="shared" si="27"/>
        <v>30</v>
      </c>
      <c r="BZ35" s="27">
        <f t="shared" si="27"/>
        <v>30</v>
      </c>
      <c r="CA35" s="27">
        <f t="shared" si="27"/>
        <v>30</v>
      </c>
      <c r="CB35" s="27">
        <f t="shared" si="27"/>
        <v>30</v>
      </c>
      <c r="CC35" s="27">
        <f t="shared" si="27"/>
        <v>30</v>
      </c>
      <c r="CD35" s="27">
        <f t="shared" si="27"/>
        <v>30</v>
      </c>
      <c r="CE35" s="27">
        <f t="shared" si="27"/>
        <v>30</v>
      </c>
      <c r="CF35" s="27">
        <f t="shared" si="27"/>
        <v>30</v>
      </c>
      <c r="CG35" s="27">
        <f t="shared" si="27"/>
        <v>30</v>
      </c>
    </row>
    <row r="36" spans="1:85" s="11" customFormat="1" x14ac:dyDescent="0.2">
      <c r="A36" s="22" t="s">
        <v>265</v>
      </c>
      <c r="B36" s="27">
        <f>B35+B33</f>
        <v>180</v>
      </c>
      <c r="C36" s="27">
        <f t="shared" ref="C36:BN36" si="28">C35+C33</f>
        <v>180</v>
      </c>
      <c r="D36" s="27">
        <f t="shared" si="28"/>
        <v>180</v>
      </c>
      <c r="E36" s="27">
        <f t="shared" si="28"/>
        <v>180</v>
      </c>
      <c r="F36" s="27">
        <f t="shared" si="28"/>
        <v>180</v>
      </c>
      <c r="G36" s="27">
        <f t="shared" si="28"/>
        <v>180</v>
      </c>
      <c r="H36" s="27">
        <f t="shared" si="28"/>
        <v>180</v>
      </c>
      <c r="I36" s="27">
        <f t="shared" si="28"/>
        <v>180</v>
      </c>
      <c r="J36" s="27">
        <f t="shared" si="28"/>
        <v>180</v>
      </c>
      <c r="K36" s="27">
        <f t="shared" si="28"/>
        <v>180</v>
      </c>
      <c r="L36" s="27">
        <f t="shared" si="28"/>
        <v>180</v>
      </c>
      <c r="M36" s="27">
        <f t="shared" si="28"/>
        <v>180</v>
      </c>
      <c r="N36" s="27">
        <f t="shared" si="28"/>
        <v>180</v>
      </c>
      <c r="O36" s="27">
        <f t="shared" si="28"/>
        <v>180</v>
      </c>
      <c r="P36" s="27">
        <f t="shared" si="28"/>
        <v>180</v>
      </c>
      <c r="Q36" s="27">
        <f t="shared" si="28"/>
        <v>180</v>
      </c>
      <c r="R36" s="27">
        <f t="shared" si="28"/>
        <v>180</v>
      </c>
      <c r="S36" s="27">
        <f t="shared" si="28"/>
        <v>180</v>
      </c>
      <c r="T36" s="27">
        <f t="shared" si="28"/>
        <v>180</v>
      </c>
      <c r="U36" s="27">
        <f t="shared" si="28"/>
        <v>180</v>
      </c>
      <c r="V36" s="27">
        <f t="shared" si="28"/>
        <v>180</v>
      </c>
      <c r="W36" s="27">
        <f t="shared" si="28"/>
        <v>180</v>
      </c>
      <c r="X36" s="27">
        <f t="shared" si="28"/>
        <v>180</v>
      </c>
      <c r="Y36" s="27">
        <f t="shared" si="28"/>
        <v>180</v>
      </c>
      <c r="Z36" s="27">
        <f t="shared" si="28"/>
        <v>180</v>
      </c>
      <c r="AA36" s="27">
        <f t="shared" si="28"/>
        <v>180</v>
      </c>
      <c r="AB36" s="27">
        <f t="shared" si="28"/>
        <v>180</v>
      </c>
      <c r="AC36" s="27">
        <f t="shared" si="28"/>
        <v>180</v>
      </c>
      <c r="AD36" s="27">
        <f t="shared" si="28"/>
        <v>180</v>
      </c>
      <c r="AE36" s="27">
        <f t="shared" si="28"/>
        <v>180</v>
      </c>
      <c r="AF36" s="27">
        <f t="shared" si="28"/>
        <v>180</v>
      </c>
      <c r="AG36" s="27">
        <f t="shared" si="28"/>
        <v>180</v>
      </c>
      <c r="AH36" s="27">
        <f t="shared" si="28"/>
        <v>180</v>
      </c>
      <c r="AI36" s="27">
        <f t="shared" si="28"/>
        <v>180</v>
      </c>
      <c r="AJ36" s="27">
        <f t="shared" si="28"/>
        <v>180</v>
      </c>
      <c r="AK36" s="27">
        <f t="shared" si="28"/>
        <v>180</v>
      </c>
      <c r="AL36" s="27">
        <f t="shared" si="28"/>
        <v>180</v>
      </c>
      <c r="AM36" s="27">
        <f t="shared" si="28"/>
        <v>180</v>
      </c>
      <c r="AN36" s="27">
        <f t="shared" si="28"/>
        <v>180</v>
      </c>
      <c r="AO36" s="27">
        <f t="shared" si="28"/>
        <v>180</v>
      </c>
      <c r="AP36" s="27">
        <f t="shared" si="28"/>
        <v>180</v>
      </c>
      <c r="AQ36" s="27">
        <f t="shared" si="28"/>
        <v>180</v>
      </c>
      <c r="AR36" s="27">
        <f t="shared" si="28"/>
        <v>180</v>
      </c>
      <c r="AS36" s="27">
        <f t="shared" si="28"/>
        <v>180</v>
      </c>
      <c r="AT36" s="27">
        <f t="shared" si="28"/>
        <v>180</v>
      </c>
      <c r="AU36" s="27">
        <f t="shared" si="28"/>
        <v>180</v>
      </c>
      <c r="AV36" s="27">
        <f t="shared" si="28"/>
        <v>180</v>
      </c>
      <c r="AW36" s="27">
        <f t="shared" si="28"/>
        <v>180</v>
      </c>
      <c r="AX36" s="27">
        <f t="shared" si="28"/>
        <v>180</v>
      </c>
      <c r="AY36" s="27">
        <f t="shared" si="28"/>
        <v>180</v>
      </c>
      <c r="AZ36" s="27">
        <f t="shared" si="28"/>
        <v>180</v>
      </c>
      <c r="BA36" s="27">
        <f t="shared" si="28"/>
        <v>180</v>
      </c>
      <c r="BB36" s="27">
        <f t="shared" si="28"/>
        <v>180</v>
      </c>
      <c r="BC36" s="27">
        <f t="shared" si="28"/>
        <v>180</v>
      </c>
      <c r="BD36" s="27">
        <f t="shared" si="28"/>
        <v>180</v>
      </c>
      <c r="BE36" s="27">
        <f t="shared" si="28"/>
        <v>180</v>
      </c>
      <c r="BF36" s="27">
        <f t="shared" si="28"/>
        <v>180</v>
      </c>
      <c r="BG36" s="27">
        <f t="shared" si="28"/>
        <v>180</v>
      </c>
      <c r="BH36" s="27">
        <f t="shared" si="28"/>
        <v>180</v>
      </c>
      <c r="BI36" s="27">
        <f t="shared" si="28"/>
        <v>180</v>
      </c>
      <c r="BJ36" s="27">
        <f t="shared" si="28"/>
        <v>180</v>
      </c>
      <c r="BK36" s="27">
        <f t="shared" si="28"/>
        <v>180</v>
      </c>
      <c r="BL36" s="27">
        <f t="shared" si="28"/>
        <v>180</v>
      </c>
      <c r="BM36" s="27">
        <f t="shared" si="28"/>
        <v>180</v>
      </c>
      <c r="BN36" s="27">
        <f t="shared" si="28"/>
        <v>180</v>
      </c>
      <c r="BO36" s="27">
        <f t="shared" ref="BO36:CG36" si="29">BO35+BO33</f>
        <v>180</v>
      </c>
      <c r="BP36" s="27">
        <f t="shared" si="29"/>
        <v>180</v>
      </c>
      <c r="BQ36" s="27">
        <f t="shared" si="29"/>
        <v>180</v>
      </c>
      <c r="BR36" s="27">
        <f t="shared" si="29"/>
        <v>180</v>
      </c>
      <c r="BS36" s="27">
        <f t="shared" si="29"/>
        <v>180</v>
      </c>
      <c r="BT36" s="27">
        <f t="shared" si="29"/>
        <v>180</v>
      </c>
      <c r="BU36" s="27">
        <f t="shared" si="29"/>
        <v>180</v>
      </c>
      <c r="BV36" s="27">
        <f t="shared" si="29"/>
        <v>180</v>
      </c>
      <c r="BW36" s="27">
        <f t="shared" si="29"/>
        <v>180</v>
      </c>
      <c r="BX36" s="27">
        <f t="shared" si="29"/>
        <v>180</v>
      </c>
      <c r="BY36" s="27">
        <f t="shared" si="29"/>
        <v>180</v>
      </c>
      <c r="BZ36" s="27">
        <f t="shared" si="29"/>
        <v>180</v>
      </c>
      <c r="CA36" s="27">
        <f t="shared" si="29"/>
        <v>180</v>
      </c>
      <c r="CB36" s="27">
        <f t="shared" si="29"/>
        <v>180</v>
      </c>
      <c r="CC36" s="27">
        <f t="shared" si="29"/>
        <v>180</v>
      </c>
      <c r="CD36" s="27">
        <f t="shared" si="29"/>
        <v>180</v>
      </c>
      <c r="CE36" s="27">
        <f t="shared" si="29"/>
        <v>180</v>
      </c>
      <c r="CF36" s="27">
        <f t="shared" si="29"/>
        <v>180</v>
      </c>
      <c r="CG36" s="27">
        <f t="shared" si="29"/>
        <v>180</v>
      </c>
    </row>
    <row r="37" spans="1:85" s="11" customFormat="1" x14ac:dyDescent="0.2">
      <c r="A37" s="2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</row>
    <row r="38" spans="1:85" s="11" customFormat="1" x14ac:dyDescent="0.2">
      <c r="A38" s="11" t="s">
        <v>266</v>
      </c>
      <c r="B38" s="107">
        <v>0.2</v>
      </c>
      <c r="C38" s="107">
        <v>0.2</v>
      </c>
      <c r="D38" s="107">
        <v>0.2</v>
      </c>
      <c r="E38" s="107">
        <v>0.2</v>
      </c>
      <c r="F38" s="107">
        <v>0.2</v>
      </c>
      <c r="G38" s="107">
        <v>0.2</v>
      </c>
      <c r="H38" s="107">
        <v>0.2</v>
      </c>
      <c r="I38" s="107">
        <v>0.2</v>
      </c>
      <c r="J38" s="107">
        <v>0.2</v>
      </c>
      <c r="K38" s="107">
        <v>0.2</v>
      </c>
      <c r="L38" s="107">
        <v>0.2</v>
      </c>
      <c r="M38" s="107">
        <v>0.2</v>
      </c>
      <c r="N38" s="107">
        <v>0.1</v>
      </c>
      <c r="O38" s="107">
        <v>0.1</v>
      </c>
      <c r="P38" s="107">
        <v>0.1</v>
      </c>
      <c r="Q38" s="107">
        <v>0.1</v>
      </c>
      <c r="R38" s="107">
        <v>0.1</v>
      </c>
      <c r="S38" s="107">
        <v>0.1</v>
      </c>
      <c r="T38" s="107">
        <v>0.1</v>
      </c>
      <c r="U38" s="107">
        <v>0.1</v>
      </c>
      <c r="V38" s="107">
        <v>0.1</v>
      </c>
      <c r="W38" s="107">
        <v>0.1</v>
      </c>
      <c r="X38" s="107">
        <v>0.1</v>
      </c>
      <c r="Y38" s="107">
        <v>0.1</v>
      </c>
      <c r="Z38" s="107">
        <v>0.1</v>
      </c>
      <c r="AA38" s="107">
        <v>0.1</v>
      </c>
      <c r="AB38" s="107">
        <v>0.1</v>
      </c>
      <c r="AC38" s="107">
        <v>0.1</v>
      </c>
      <c r="AD38" s="107">
        <v>0.1</v>
      </c>
      <c r="AE38" s="107">
        <v>0.1</v>
      </c>
      <c r="AF38" s="107">
        <v>0.1</v>
      </c>
      <c r="AG38" s="107">
        <v>0.1</v>
      </c>
      <c r="AH38" s="107">
        <v>0.1</v>
      </c>
      <c r="AI38" s="107">
        <v>0.1</v>
      </c>
      <c r="AJ38" s="107">
        <v>0.1</v>
      </c>
      <c r="AK38" s="107">
        <v>0.1</v>
      </c>
      <c r="AL38" s="107">
        <v>0.1</v>
      </c>
      <c r="AM38" s="107">
        <v>0.1</v>
      </c>
      <c r="AN38" s="107">
        <v>0.1</v>
      </c>
      <c r="AO38" s="107">
        <v>0.1</v>
      </c>
      <c r="AP38" s="107">
        <v>0.1</v>
      </c>
      <c r="AQ38" s="107">
        <v>0.1</v>
      </c>
      <c r="AR38" s="107">
        <v>0.1</v>
      </c>
      <c r="AS38" s="107">
        <v>0.1</v>
      </c>
      <c r="AT38" s="107">
        <v>0.1</v>
      </c>
      <c r="AU38" s="107">
        <v>0.1</v>
      </c>
      <c r="AV38" s="107">
        <v>0.1</v>
      </c>
      <c r="AW38" s="107">
        <v>0.1</v>
      </c>
      <c r="AX38" s="107">
        <v>0.1</v>
      </c>
      <c r="AY38" s="107">
        <v>0.1</v>
      </c>
      <c r="AZ38" s="107">
        <v>0.1</v>
      </c>
      <c r="BA38" s="107">
        <v>0.1</v>
      </c>
      <c r="BB38" s="107">
        <v>0.1</v>
      </c>
      <c r="BC38" s="107">
        <v>0.1</v>
      </c>
      <c r="BD38" s="107">
        <v>0.1</v>
      </c>
      <c r="BE38" s="107">
        <v>0.1</v>
      </c>
      <c r="BF38" s="107">
        <v>0.1</v>
      </c>
      <c r="BG38" s="107">
        <v>0.1</v>
      </c>
      <c r="BH38" s="107">
        <v>0.1</v>
      </c>
      <c r="BI38" s="107">
        <v>0.1</v>
      </c>
      <c r="BJ38" s="107">
        <v>0.1</v>
      </c>
      <c r="BK38" s="107">
        <v>0.1</v>
      </c>
      <c r="BL38" s="107">
        <v>0.1</v>
      </c>
      <c r="BM38" s="107">
        <v>0.1</v>
      </c>
      <c r="BN38" s="107">
        <v>0.1</v>
      </c>
      <c r="BO38" s="107">
        <v>0.1</v>
      </c>
      <c r="BP38" s="107">
        <v>0.1</v>
      </c>
      <c r="BQ38" s="107">
        <v>0.1</v>
      </c>
      <c r="BR38" s="107">
        <v>0.1</v>
      </c>
      <c r="BS38" s="107">
        <v>0.1</v>
      </c>
      <c r="BT38" s="107">
        <v>0.1</v>
      </c>
      <c r="BU38" s="107">
        <v>0.1</v>
      </c>
      <c r="BV38" s="107">
        <v>0.1</v>
      </c>
      <c r="BW38" s="107">
        <v>0.1</v>
      </c>
      <c r="BX38" s="107">
        <v>0.1</v>
      </c>
      <c r="BY38" s="107">
        <v>0.1</v>
      </c>
      <c r="BZ38" s="107">
        <v>0.1</v>
      </c>
      <c r="CA38" s="107">
        <v>0.1</v>
      </c>
      <c r="CB38" s="107">
        <v>0.1</v>
      </c>
      <c r="CC38" s="107">
        <v>0.1</v>
      </c>
      <c r="CD38" s="107">
        <v>0.1</v>
      </c>
      <c r="CE38" s="107">
        <v>0.1</v>
      </c>
      <c r="CF38" s="107">
        <v>0.1</v>
      </c>
      <c r="CG38" s="107">
        <v>0.1</v>
      </c>
    </row>
    <row r="39" spans="1:85" s="11" customFormat="1" x14ac:dyDescent="0.2">
      <c r="A39" s="11" t="s">
        <v>267</v>
      </c>
      <c r="B39" s="3">
        <f>B36*B38</f>
        <v>36</v>
      </c>
      <c r="C39" s="3">
        <f t="shared" ref="C39:BN39" si="30">C36*C38</f>
        <v>36</v>
      </c>
      <c r="D39" s="3">
        <f t="shared" si="30"/>
        <v>36</v>
      </c>
      <c r="E39" s="3">
        <f t="shared" si="30"/>
        <v>36</v>
      </c>
      <c r="F39" s="3">
        <f t="shared" si="30"/>
        <v>36</v>
      </c>
      <c r="G39" s="3">
        <f t="shared" si="30"/>
        <v>36</v>
      </c>
      <c r="H39" s="3">
        <f t="shared" si="30"/>
        <v>36</v>
      </c>
      <c r="I39" s="3">
        <f t="shared" si="30"/>
        <v>36</v>
      </c>
      <c r="J39" s="3">
        <f t="shared" si="30"/>
        <v>36</v>
      </c>
      <c r="K39" s="3">
        <f t="shared" si="30"/>
        <v>36</v>
      </c>
      <c r="L39" s="3">
        <f t="shared" si="30"/>
        <v>36</v>
      </c>
      <c r="M39" s="3">
        <f t="shared" si="30"/>
        <v>36</v>
      </c>
      <c r="N39" s="3">
        <f t="shared" si="30"/>
        <v>18</v>
      </c>
      <c r="O39" s="3">
        <f t="shared" si="30"/>
        <v>18</v>
      </c>
      <c r="P39" s="3">
        <f t="shared" si="30"/>
        <v>18</v>
      </c>
      <c r="Q39" s="3">
        <f t="shared" si="30"/>
        <v>18</v>
      </c>
      <c r="R39" s="3">
        <f t="shared" si="30"/>
        <v>18</v>
      </c>
      <c r="S39" s="3">
        <f t="shared" si="30"/>
        <v>18</v>
      </c>
      <c r="T39" s="3">
        <f t="shared" si="30"/>
        <v>18</v>
      </c>
      <c r="U39" s="3">
        <f t="shared" si="30"/>
        <v>18</v>
      </c>
      <c r="V39" s="3">
        <f t="shared" si="30"/>
        <v>18</v>
      </c>
      <c r="W39" s="3">
        <f t="shared" si="30"/>
        <v>18</v>
      </c>
      <c r="X39" s="3">
        <f t="shared" si="30"/>
        <v>18</v>
      </c>
      <c r="Y39" s="3">
        <f t="shared" si="30"/>
        <v>18</v>
      </c>
      <c r="Z39" s="3">
        <f t="shared" si="30"/>
        <v>18</v>
      </c>
      <c r="AA39" s="3">
        <f t="shared" si="30"/>
        <v>18</v>
      </c>
      <c r="AB39" s="3">
        <f t="shared" si="30"/>
        <v>18</v>
      </c>
      <c r="AC39" s="3">
        <f t="shared" si="30"/>
        <v>18</v>
      </c>
      <c r="AD39" s="3">
        <f t="shared" si="30"/>
        <v>18</v>
      </c>
      <c r="AE39" s="3">
        <f t="shared" si="30"/>
        <v>18</v>
      </c>
      <c r="AF39" s="3">
        <f t="shared" si="30"/>
        <v>18</v>
      </c>
      <c r="AG39" s="3">
        <f t="shared" si="30"/>
        <v>18</v>
      </c>
      <c r="AH39" s="3">
        <f t="shared" si="30"/>
        <v>18</v>
      </c>
      <c r="AI39" s="3">
        <f t="shared" si="30"/>
        <v>18</v>
      </c>
      <c r="AJ39" s="3">
        <f t="shared" si="30"/>
        <v>18</v>
      </c>
      <c r="AK39" s="3">
        <f t="shared" si="30"/>
        <v>18</v>
      </c>
      <c r="AL39" s="3">
        <f t="shared" si="30"/>
        <v>18</v>
      </c>
      <c r="AM39" s="3">
        <f t="shared" si="30"/>
        <v>18</v>
      </c>
      <c r="AN39" s="3">
        <f t="shared" si="30"/>
        <v>18</v>
      </c>
      <c r="AO39" s="3">
        <f t="shared" si="30"/>
        <v>18</v>
      </c>
      <c r="AP39" s="3">
        <f t="shared" si="30"/>
        <v>18</v>
      </c>
      <c r="AQ39" s="3">
        <f t="shared" si="30"/>
        <v>18</v>
      </c>
      <c r="AR39" s="3">
        <f t="shared" si="30"/>
        <v>18</v>
      </c>
      <c r="AS39" s="3">
        <f t="shared" si="30"/>
        <v>18</v>
      </c>
      <c r="AT39" s="3">
        <f t="shared" si="30"/>
        <v>18</v>
      </c>
      <c r="AU39" s="3">
        <f t="shared" si="30"/>
        <v>18</v>
      </c>
      <c r="AV39" s="3">
        <f t="shared" si="30"/>
        <v>18</v>
      </c>
      <c r="AW39" s="3">
        <f t="shared" si="30"/>
        <v>18</v>
      </c>
      <c r="AX39" s="3">
        <f t="shared" si="30"/>
        <v>18</v>
      </c>
      <c r="AY39" s="3">
        <f t="shared" si="30"/>
        <v>18</v>
      </c>
      <c r="AZ39" s="3">
        <f t="shared" si="30"/>
        <v>18</v>
      </c>
      <c r="BA39" s="3">
        <f t="shared" si="30"/>
        <v>18</v>
      </c>
      <c r="BB39" s="3">
        <f t="shared" si="30"/>
        <v>18</v>
      </c>
      <c r="BC39" s="3">
        <f t="shared" si="30"/>
        <v>18</v>
      </c>
      <c r="BD39" s="3">
        <f t="shared" si="30"/>
        <v>18</v>
      </c>
      <c r="BE39" s="3">
        <f t="shared" si="30"/>
        <v>18</v>
      </c>
      <c r="BF39" s="3">
        <f t="shared" si="30"/>
        <v>18</v>
      </c>
      <c r="BG39" s="3">
        <f t="shared" si="30"/>
        <v>18</v>
      </c>
      <c r="BH39" s="3">
        <f t="shared" si="30"/>
        <v>18</v>
      </c>
      <c r="BI39" s="3">
        <f t="shared" si="30"/>
        <v>18</v>
      </c>
      <c r="BJ39" s="3">
        <f t="shared" si="30"/>
        <v>18</v>
      </c>
      <c r="BK39" s="3">
        <f t="shared" si="30"/>
        <v>18</v>
      </c>
      <c r="BL39" s="3">
        <f t="shared" si="30"/>
        <v>18</v>
      </c>
      <c r="BM39" s="3">
        <f t="shared" si="30"/>
        <v>18</v>
      </c>
      <c r="BN39" s="3">
        <f t="shared" si="30"/>
        <v>18</v>
      </c>
      <c r="BO39" s="3">
        <f t="shared" ref="BO39:CG39" si="31">BO36*BO38</f>
        <v>18</v>
      </c>
      <c r="BP39" s="3">
        <f t="shared" si="31"/>
        <v>18</v>
      </c>
      <c r="BQ39" s="3">
        <f t="shared" si="31"/>
        <v>18</v>
      </c>
      <c r="BR39" s="3">
        <f t="shared" si="31"/>
        <v>18</v>
      </c>
      <c r="BS39" s="3">
        <f t="shared" si="31"/>
        <v>18</v>
      </c>
      <c r="BT39" s="3">
        <f t="shared" si="31"/>
        <v>18</v>
      </c>
      <c r="BU39" s="3">
        <f t="shared" si="31"/>
        <v>18</v>
      </c>
      <c r="BV39" s="3">
        <f t="shared" si="31"/>
        <v>18</v>
      </c>
      <c r="BW39" s="3">
        <f t="shared" si="31"/>
        <v>18</v>
      </c>
      <c r="BX39" s="3">
        <f t="shared" si="31"/>
        <v>18</v>
      </c>
      <c r="BY39" s="3">
        <f t="shared" si="31"/>
        <v>18</v>
      </c>
      <c r="BZ39" s="3">
        <f t="shared" si="31"/>
        <v>18</v>
      </c>
      <c r="CA39" s="3">
        <f t="shared" si="31"/>
        <v>18</v>
      </c>
      <c r="CB39" s="3">
        <f t="shared" si="31"/>
        <v>18</v>
      </c>
      <c r="CC39" s="3">
        <f t="shared" si="31"/>
        <v>18</v>
      </c>
      <c r="CD39" s="3">
        <f t="shared" si="31"/>
        <v>18</v>
      </c>
      <c r="CE39" s="3">
        <f t="shared" si="31"/>
        <v>18</v>
      </c>
      <c r="CF39" s="3">
        <f t="shared" si="31"/>
        <v>18</v>
      </c>
      <c r="CG39" s="3">
        <f t="shared" si="31"/>
        <v>18</v>
      </c>
    </row>
    <row r="40" spans="1:85" s="11" customForma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</row>
    <row r="41" spans="1:85" s="11" customFormat="1" x14ac:dyDescent="0.2">
      <c r="A41" s="11" t="s">
        <v>268</v>
      </c>
      <c r="B41" s="27">
        <f>B36-B39</f>
        <v>144</v>
      </c>
      <c r="C41" s="27">
        <f>B41+C36-C39</f>
        <v>288</v>
      </c>
      <c r="D41" s="27">
        <f t="shared" ref="D41:BO41" si="32">C41+D36-D39</f>
        <v>432</v>
      </c>
      <c r="E41" s="27">
        <f t="shared" si="32"/>
        <v>576</v>
      </c>
      <c r="F41" s="27">
        <f t="shared" si="32"/>
        <v>720</v>
      </c>
      <c r="G41" s="27">
        <f t="shared" si="32"/>
        <v>864</v>
      </c>
      <c r="H41" s="27">
        <f t="shared" si="32"/>
        <v>1008</v>
      </c>
      <c r="I41" s="27">
        <f t="shared" si="32"/>
        <v>1152</v>
      </c>
      <c r="J41" s="27">
        <f t="shared" si="32"/>
        <v>1296</v>
      </c>
      <c r="K41" s="27">
        <f t="shared" si="32"/>
        <v>1440</v>
      </c>
      <c r="L41" s="27">
        <f t="shared" si="32"/>
        <v>1584</v>
      </c>
      <c r="M41" s="27">
        <f t="shared" si="32"/>
        <v>1728</v>
      </c>
      <c r="N41" s="27">
        <f t="shared" si="32"/>
        <v>1890</v>
      </c>
      <c r="O41" s="27">
        <f t="shared" si="32"/>
        <v>2052</v>
      </c>
      <c r="P41" s="27">
        <f t="shared" si="32"/>
        <v>2214</v>
      </c>
      <c r="Q41" s="27">
        <f t="shared" si="32"/>
        <v>2376</v>
      </c>
      <c r="R41" s="27">
        <f t="shared" si="32"/>
        <v>2538</v>
      </c>
      <c r="S41" s="27">
        <f t="shared" si="32"/>
        <v>2700</v>
      </c>
      <c r="T41" s="27">
        <f t="shared" si="32"/>
        <v>2862</v>
      </c>
      <c r="U41" s="27">
        <f t="shared" si="32"/>
        <v>3024</v>
      </c>
      <c r="V41" s="27">
        <f t="shared" si="32"/>
        <v>3186</v>
      </c>
      <c r="W41" s="27">
        <f t="shared" si="32"/>
        <v>3348</v>
      </c>
      <c r="X41" s="27">
        <f t="shared" si="32"/>
        <v>3510</v>
      </c>
      <c r="Y41" s="27">
        <f t="shared" si="32"/>
        <v>3672</v>
      </c>
      <c r="Z41" s="27">
        <f t="shared" si="32"/>
        <v>3834</v>
      </c>
      <c r="AA41" s="27">
        <f t="shared" si="32"/>
        <v>3996</v>
      </c>
      <c r="AB41" s="27">
        <f t="shared" si="32"/>
        <v>4158</v>
      </c>
      <c r="AC41" s="27">
        <f t="shared" si="32"/>
        <v>4320</v>
      </c>
      <c r="AD41" s="27">
        <f t="shared" si="32"/>
        <v>4482</v>
      </c>
      <c r="AE41" s="27">
        <f t="shared" si="32"/>
        <v>4644</v>
      </c>
      <c r="AF41" s="27">
        <f t="shared" si="32"/>
        <v>4806</v>
      </c>
      <c r="AG41" s="27">
        <f t="shared" si="32"/>
        <v>4968</v>
      </c>
      <c r="AH41" s="27">
        <f t="shared" si="32"/>
        <v>5130</v>
      </c>
      <c r="AI41" s="27">
        <f t="shared" si="32"/>
        <v>5292</v>
      </c>
      <c r="AJ41" s="27">
        <f t="shared" si="32"/>
        <v>5454</v>
      </c>
      <c r="AK41" s="27">
        <f t="shared" si="32"/>
        <v>5616</v>
      </c>
      <c r="AL41" s="27">
        <f t="shared" si="32"/>
        <v>5778</v>
      </c>
      <c r="AM41" s="27">
        <f t="shared" si="32"/>
        <v>5940</v>
      </c>
      <c r="AN41" s="27">
        <f t="shared" si="32"/>
        <v>6102</v>
      </c>
      <c r="AO41" s="27">
        <f t="shared" si="32"/>
        <v>6264</v>
      </c>
      <c r="AP41" s="27">
        <f t="shared" si="32"/>
        <v>6426</v>
      </c>
      <c r="AQ41" s="27">
        <f t="shared" si="32"/>
        <v>6588</v>
      </c>
      <c r="AR41" s="27">
        <f t="shared" si="32"/>
        <v>6750</v>
      </c>
      <c r="AS41" s="27">
        <f t="shared" si="32"/>
        <v>6912</v>
      </c>
      <c r="AT41" s="27">
        <f t="shared" si="32"/>
        <v>7074</v>
      </c>
      <c r="AU41" s="27">
        <f t="shared" si="32"/>
        <v>7236</v>
      </c>
      <c r="AV41" s="27">
        <f t="shared" si="32"/>
        <v>7398</v>
      </c>
      <c r="AW41" s="27">
        <f t="shared" si="32"/>
        <v>7560</v>
      </c>
      <c r="AX41" s="27">
        <f t="shared" si="32"/>
        <v>7722</v>
      </c>
      <c r="AY41" s="27">
        <f t="shared" si="32"/>
        <v>7884</v>
      </c>
      <c r="AZ41" s="27">
        <f t="shared" si="32"/>
        <v>8046</v>
      </c>
      <c r="BA41" s="27">
        <f t="shared" si="32"/>
        <v>8208</v>
      </c>
      <c r="BB41" s="27">
        <f t="shared" si="32"/>
        <v>8370</v>
      </c>
      <c r="BC41" s="27">
        <f t="shared" si="32"/>
        <v>8532</v>
      </c>
      <c r="BD41" s="27">
        <f t="shared" si="32"/>
        <v>8694</v>
      </c>
      <c r="BE41" s="27">
        <f t="shared" si="32"/>
        <v>8856</v>
      </c>
      <c r="BF41" s="27">
        <f t="shared" si="32"/>
        <v>9018</v>
      </c>
      <c r="BG41" s="27">
        <f t="shared" si="32"/>
        <v>9180</v>
      </c>
      <c r="BH41" s="27">
        <f t="shared" si="32"/>
        <v>9342</v>
      </c>
      <c r="BI41" s="27">
        <f t="shared" si="32"/>
        <v>9504</v>
      </c>
      <c r="BJ41" s="27">
        <f t="shared" si="32"/>
        <v>9666</v>
      </c>
      <c r="BK41" s="27">
        <f t="shared" si="32"/>
        <v>9828</v>
      </c>
      <c r="BL41" s="27">
        <f t="shared" si="32"/>
        <v>9990</v>
      </c>
      <c r="BM41" s="27">
        <f t="shared" si="32"/>
        <v>10152</v>
      </c>
      <c r="BN41" s="27">
        <f t="shared" si="32"/>
        <v>10314</v>
      </c>
      <c r="BO41" s="27">
        <f t="shared" si="32"/>
        <v>10476</v>
      </c>
      <c r="BP41" s="27">
        <f t="shared" ref="BP41:CG41" si="33">BO41+BP36-BP39</f>
        <v>10638</v>
      </c>
      <c r="BQ41" s="27">
        <f t="shared" si="33"/>
        <v>10800</v>
      </c>
      <c r="BR41" s="27">
        <f t="shared" si="33"/>
        <v>10962</v>
      </c>
      <c r="BS41" s="27">
        <f t="shared" si="33"/>
        <v>11124</v>
      </c>
      <c r="BT41" s="27">
        <f t="shared" si="33"/>
        <v>11286</v>
      </c>
      <c r="BU41" s="27">
        <f t="shared" si="33"/>
        <v>11448</v>
      </c>
      <c r="BV41" s="27">
        <f t="shared" si="33"/>
        <v>11610</v>
      </c>
      <c r="BW41" s="27">
        <f t="shared" si="33"/>
        <v>11772</v>
      </c>
      <c r="BX41" s="27">
        <f t="shared" si="33"/>
        <v>11934</v>
      </c>
      <c r="BY41" s="27">
        <f t="shared" si="33"/>
        <v>12096</v>
      </c>
      <c r="BZ41" s="27">
        <f t="shared" si="33"/>
        <v>12258</v>
      </c>
      <c r="CA41" s="27">
        <f t="shared" si="33"/>
        <v>12420</v>
      </c>
      <c r="CB41" s="27">
        <f t="shared" si="33"/>
        <v>12582</v>
      </c>
      <c r="CC41" s="27">
        <f t="shared" si="33"/>
        <v>12744</v>
      </c>
      <c r="CD41" s="27">
        <f t="shared" si="33"/>
        <v>12906</v>
      </c>
      <c r="CE41" s="27">
        <f t="shared" si="33"/>
        <v>13068</v>
      </c>
      <c r="CF41" s="27">
        <f t="shared" si="33"/>
        <v>13230</v>
      </c>
      <c r="CG41" s="27">
        <f t="shared" si="33"/>
        <v>13392</v>
      </c>
    </row>
    <row r="42" spans="1:85" s="11" customForma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</row>
    <row r="43" spans="1:85" s="11" customFormat="1" x14ac:dyDescent="0.2">
      <c r="A43" s="11" t="s">
        <v>309</v>
      </c>
      <c r="B43" s="106">
        <v>0</v>
      </c>
      <c r="C43" s="106">
        <v>0</v>
      </c>
      <c r="D43" s="106">
        <v>0</v>
      </c>
      <c r="E43" s="106">
        <v>0</v>
      </c>
      <c r="F43" s="106">
        <v>0</v>
      </c>
      <c r="G43" s="106">
        <v>0</v>
      </c>
      <c r="H43" s="106">
        <v>0</v>
      </c>
      <c r="I43" s="106">
        <v>0</v>
      </c>
      <c r="J43" s="106">
        <v>0</v>
      </c>
      <c r="K43" s="106">
        <v>0</v>
      </c>
      <c r="L43" s="106">
        <v>0</v>
      </c>
      <c r="M43" s="106">
        <v>0</v>
      </c>
      <c r="N43" s="106">
        <v>10</v>
      </c>
      <c r="O43" s="106">
        <v>10</v>
      </c>
      <c r="P43" s="106">
        <v>10</v>
      </c>
      <c r="Q43" s="106">
        <v>10</v>
      </c>
      <c r="R43" s="106">
        <v>10</v>
      </c>
      <c r="S43" s="106">
        <v>10</v>
      </c>
      <c r="T43" s="106">
        <v>10</v>
      </c>
      <c r="U43" s="106">
        <v>10</v>
      </c>
      <c r="V43" s="106">
        <v>10</v>
      </c>
      <c r="W43" s="106">
        <v>10</v>
      </c>
      <c r="X43" s="106">
        <v>10</v>
      </c>
      <c r="Y43" s="106">
        <v>10</v>
      </c>
      <c r="Z43" s="106">
        <v>25</v>
      </c>
      <c r="AA43" s="106">
        <v>25</v>
      </c>
      <c r="AB43" s="106">
        <v>25</v>
      </c>
      <c r="AC43" s="106">
        <v>25</v>
      </c>
      <c r="AD43" s="106">
        <v>25</v>
      </c>
      <c r="AE43" s="106">
        <v>25</v>
      </c>
      <c r="AF43" s="106">
        <v>25</v>
      </c>
      <c r="AG43" s="106">
        <v>25</v>
      </c>
      <c r="AH43" s="106">
        <v>25</v>
      </c>
      <c r="AI43" s="106">
        <v>25</v>
      </c>
      <c r="AJ43" s="106">
        <v>25</v>
      </c>
      <c r="AK43" s="106">
        <v>25</v>
      </c>
      <c r="AL43" s="106">
        <v>25</v>
      </c>
      <c r="AM43" s="106">
        <v>25</v>
      </c>
      <c r="AN43" s="106">
        <v>25</v>
      </c>
      <c r="AO43" s="106">
        <v>25</v>
      </c>
      <c r="AP43" s="106">
        <v>25</v>
      </c>
      <c r="AQ43" s="106">
        <v>25</v>
      </c>
      <c r="AR43" s="106">
        <v>25</v>
      </c>
      <c r="AS43" s="106">
        <v>25</v>
      </c>
      <c r="AT43" s="106">
        <v>25</v>
      </c>
      <c r="AU43" s="106">
        <v>25</v>
      </c>
      <c r="AV43" s="106">
        <v>25</v>
      </c>
      <c r="AW43" s="106">
        <v>25</v>
      </c>
      <c r="AX43" s="106">
        <v>25</v>
      </c>
      <c r="AY43" s="106">
        <v>25</v>
      </c>
      <c r="AZ43" s="106">
        <v>25</v>
      </c>
      <c r="BA43" s="106">
        <v>25</v>
      </c>
      <c r="BB43" s="106">
        <v>25</v>
      </c>
      <c r="BC43" s="106">
        <v>25</v>
      </c>
      <c r="BD43" s="106">
        <v>25</v>
      </c>
      <c r="BE43" s="106">
        <v>25</v>
      </c>
      <c r="BF43" s="106">
        <v>25</v>
      </c>
      <c r="BG43" s="106">
        <v>25</v>
      </c>
      <c r="BH43" s="106">
        <v>25</v>
      </c>
      <c r="BI43" s="106">
        <v>25</v>
      </c>
      <c r="BJ43" s="106">
        <v>25</v>
      </c>
      <c r="BK43" s="106">
        <v>25</v>
      </c>
      <c r="BL43" s="106">
        <v>25</v>
      </c>
      <c r="BM43" s="106">
        <v>25</v>
      </c>
      <c r="BN43" s="106">
        <v>25</v>
      </c>
      <c r="BO43" s="106">
        <v>25</v>
      </c>
      <c r="BP43" s="106">
        <v>25</v>
      </c>
      <c r="BQ43" s="106">
        <v>25</v>
      </c>
      <c r="BR43" s="106">
        <v>25</v>
      </c>
      <c r="BS43" s="106">
        <v>25</v>
      </c>
      <c r="BT43" s="106">
        <v>25</v>
      </c>
      <c r="BU43" s="106">
        <v>25</v>
      </c>
      <c r="BV43" s="106">
        <v>25</v>
      </c>
      <c r="BW43" s="106">
        <v>25</v>
      </c>
      <c r="BX43" s="106">
        <v>25</v>
      </c>
      <c r="BY43" s="106">
        <v>25</v>
      </c>
      <c r="BZ43" s="106">
        <v>25</v>
      </c>
      <c r="CA43" s="106">
        <v>25</v>
      </c>
      <c r="CB43" s="106">
        <v>25</v>
      </c>
      <c r="CC43" s="106">
        <v>25</v>
      </c>
      <c r="CD43" s="106">
        <v>25</v>
      </c>
      <c r="CE43" s="106">
        <v>25</v>
      </c>
      <c r="CF43" s="106">
        <v>25</v>
      </c>
      <c r="CG43" s="106">
        <v>25</v>
      </c>
    </row>
    <row r="44" spans="1:85" s="11" customFormat="1" x14ac:dyDescent="0.2">
      <c r="A44" s="11" t="s">
        <v>308</v>
      </c>
      <c r="B44" s="107">
        <v>0</v>
      </c>
      <c r="C44" s="107">
        <v>0</v>
      </c>
      <c r="D44" s="107">
        <v>0</v>
      </c>
      <c r="E44" s="107">
        <v>0</v>
      </c>
      <c r="F44" s="107">
        <v>0</v>
      </c>
      <c r="G44" s="107">
        <v>0</v>
      </c>
      <c r="H44" s="107">
        <v>0</v>
      </c>
      <c r="I44" s="107">
        <v>0</v>
      </c>
      <c r="J44" s="107">
        <v>0</v>
      </c>
      <c r="K44" s="107">
        <v>0</v>
      </c>
      <c r="L44" s="107">
        <v>0</v>
      </c>
      <c r="M44" s="107">
        <v>0</v>
      </c>
      <c r="N44" s="107">
        <v>0.2</v>
      </c>
      <c r="O44" s="107">
        <v>0.2</v>
      </c>
      <c r="P44" s="107">
        <v>0.2</v>
      </c>
      <c r="Q44" s="107">
        <v>0.2</v>
      </c>
      <c r="R44" s="107">
        <v>0.2</v>
      </c>
      <c r="S44" s="107">
        <v>0.2</v>
      </c>
      <c r="T44" s="107">
        <v>0.2</v>
      </c>
      <c r="U44" s="107">
        <v>0.2</v>
      </c>
      <c r="V44" s="107">
        <v>0.2</v>
      </c>
      <c r="W44" s="107">
        <v>0.2</v>
      </c>
      <c r="X44" s="107">
        <v>0.2</v>
      </c>
      <c r="Y44" s="107">
        <v>0.2</v>
      </c>
      <c r="Z44" s="107">
        <v>0.2</v>
      </c>
      <c r="AA44" s="107">
        <v>0.2</v>
      </c>
      <c r="AB44" s="107">
        <v>0.2</v>
      </c>
      <c r="AC44" s="107">
        <v>0.2</v>
      </c>
      <c r="AD44" s="107">
        <v>0.2</v>
      </c>
      <c r="AE44" s="107">
        <v>0.2</v>
      </c>
      <c r="AF44" s="107">
        <v>0.2</v>
      </c>
      <c r="AG44" s="107">
        <v>0.2</v>
      </c>
      <c r="AH44" s="107">
        <v>0.2</v>
      </c>
      <c r="AI44" s="107">
        <v>0.2</v>
      </c>
      <c r="AJ44" s="107">
        <v>0.2</v>
      </c>
      <c r="AK44" s="107">
        <v>0.2</v>
      </c>
      <c r="AL44" s="107">
        <v>0.2</v>
      </c>
      <c r="AM44" s="107">
        <v>0.2</v>
      </c>
      <c r="AN44" s="107">
        <v>0.2</v>
      </c>
      <c r="AO44" s="107">
        <v>0.2</v>
      </c>
      <c r="AP44" s="107">
        <v>0.2</v>
      </c>
      <c r="AQ44" s="107">
        <v>0.2</v>
      </c>
      <c r="AR44" s="107">
        <v>0.2</v>
      </c>
      <c r="AS44" s="107">
        <v>0.2</v>
      </c>
      <c r="AT44" s="107">
        <v>0.2</v>
      </c>
      <c r="AU44" s="107">
        <v>0.2</v>
      </c>
      <c r="AV44" s="107">
        <v>0.2</v>
      </c>
      <c r="AW44" s="107">
        <v>0.2</v>
      </c>
      <c r="AX44" s="107">
        <v>0.2</v>
      </c>
      <c r="AY44" s="107">
        <v>0.2</v>
      </c>
      <c r="AZ44" s="107">
        <v>0.2</v>
      </c>
      <c r="BA44" s="107">
        <v>0.2</v>
      </c>
      <c r="BB44" s="107">
        <v>0.2</v>
      </c>
      <c r="BC44" s="107">
        <v>0.2</v>
      </c>
      <c r="BD44" s="107">
        <v>0.2</v>
      </c>
      <c r="BE44" s="107">
        <v>0.2</v>
      </c>
      <c r="BF44" s="107">
        <v>0.2</v>
      </c>
      <c r="BG44" s="107">
        <v>0.2</v>
      </c>
      <c r="BH44" s="107">
        <v>0.2</v>
      </c>
      <c r="BI44" s="107">
        <v>0.2</v>
      </c>
      <c r="BJ44" s="107">
        <v>0.2</v>
      </c>
      <c r="BK44" s="107">
        <v>0.2</v>
      </c>
      <c r="BL44" s="107">
        <v>0.2</v>
      </c>
      <c r="BM44" s="107">
        <v>0.2</v>
      </c>
      <c r="BN44" s="107">
        <v>0.2</v>
      </c>
      <c r="BO44" s="107">
        <v>0.2</v>
      </c>
      <c r="BP44" s="107">
        <v>0.2</v>
      </c>
      <c r="BQ44" s="107">
        <v>0.2</v>
      </c>
      <c r="BR44" s="107">
        <v>0.2</v>
      </c>
      <c r="BS44" s="107">
        <v>0.2</v>
      </c>
      <c r="BT44" s="107">
        <v>0.2</v>
      </c>
      <c r="BU44" s="107">
        <v>0.2</v>
      </c>
      <c r="BV44" s="107">
        <v>0.2</v>
      </c>
      <c r="BW44" s="107">
        <v>0.2</v>
      </c>
      <c r="BX44" s="107">
        <v>0.2</v>
      </c>
      <c r="BY44" s="107">
        <v>0.2</v>
      </c>
      <c r="BZ44" s="107">
        <v>0.2</v>
      </c>
      <c r="CA44" s="107">
        <v>0.2</v>
      </c>
      <c r="CB44" s="107">
        <v>0.2</v>
      </c>
      <c r="CC44" s="107">
        <v>0.2</v>
      </c>
      <c r="CD44" s="107">
        <v>0.2</v>
      </c>
      <c r="CE44" s="107">
        <v>0.2</v>
      </c>
      <c r="CF44" s="107">
        <v>0.2</v>
      </c>
      <c r="CG44" s="107">
        <v>0.2</v>
      </c>
    </row>
    <row r="45" spans="1:85" s="110" customFormat="1" x14ac:dyDescent="0.2">
      <c r="A45" s="110" t="s">
        <v>305</v>
      </c>
      <c r="B45" s="27">
        <f>B41*(1-B44)</f>
        <v>144</v>
      </c>
      <c r="C45" s="27">
        <f t="shared" ref="C45:BN45" si="34">C41*(1-C44)</f>
        <v>288</v>
      </c>
      <c r="D45" s="27">
        <f t="shared" si="34"/>
        <v>432</v>
      </c>
      <c r="E45" s="27">
        <f t="shared" si="34"/>
        <v>576</v>
      </c>
      <c r="F45" s="27">
        <f t="shared" si="34"/>
        <v>720</v>
      </c>
      <c r="G45" s="27">
        <f t="shared" si="34"/>
        <v>864</v>
      </c>
      <c r="H45" s="27">
        <f t="shared" si="34"/>
        <v>1008</v>
      </c>
      <c r="I45" s="27">
        <f t="shared" si="34"/>
        <v>1152</v>
      </c>
      <c r="J45" s="27">
        <f t="shared" si="34"/>
        <v>1296</v>
      </c>
      <c r="K45" s="27">
        <f t="shared" si="34"/>
        <v>1440</v>
      </c>
      <c r="L45" s="27">
        <f t="shared" si="34"/>
        <v>1584</v>
      </c>
      <c r="M45" s="27">
        <f t="shared" si="34"/>
        <v>1728</v>
      </c>
      <c r="N45" s="27">
        <f t="shared" si="34"/>
        <v>1512</v>
      </c>
      <c r="O45" s="27">
        <f t="shared" si="34"/>
        <v>1641.6000000000001</v>
      </c>
      <c r="P45" s="27">
        <f t="shared" si="34"/>
        <v>1771.2</v>
      </c>
      <c r="Q45" s="27">
        <f t="shared" si="34"/>
        <v>1900.8000000000002</v>
      </c>
      <c r="R45" s="27">
        <f t="shared" si="34"/>
        <v>2030.4</v>
      </c>
      <c r="S45" s="27">
        <f t="shared" si="34"/>
        <v>2160</v>
      </c>
      <c r="T45" s="27">
        <f t="shared" si="34"/>
        <v>2289.6</v>
      </c>
      <c r="U45" s="27">
        <f t="shared" si="34"/>
        <v>2419.2000000000003</v>
      </c>
      <c r="V45" s="27">
        <f t="shared" si="34"/>
        <v>2548.8000000000002</v>
      </c>
      <c r="W45" s="27">
        <f t="shared" si="34"/>
        <v>2678.4</v>
      </c>
      <c r="X45" s="27">
        <f t="shared" si="34"/>
        <v>2808</v>
      </c>
      <c r="Y45" s="27">
        <f t="shared" si="34"/>
        <v>2937.6000000000004</v>
      </c>
      <c r="Z45" s="27">
        <f t="shared" si="34"/>
        <v>3067.2000000000003</v>
      </c>
      <c r="AA45" s="27">
        <f t="shared" si="34"/>
        <v>3196.8</v>
      </c>
      <c r="AB45" s="27">
        <f t="shared" si="34"/>
        <v>3326.4</v>
      </c>
      <c r="AC45" s="27">
        <f t="shared" si="34"/>
        <v>3456</v>
      </c>
      <c r="AD45" s="27">
        <f t="shared" si="34"/>
        <v>3585.6000000000004</v>
      </c>
      <c r="AE45" s="27">
        <f t="shared" si="34"/>
        <v>3715.2000000000003</v>
      </c>
      <c r="AF45" s="27">
        <f t="shared" si="34"/>
        <v>3844.8</v>
      </c>
      <c r="AG45" s="27">
        <f t="shared" si="34"/>
        <v>3974.4</v>
      </c>
      <c r="AH45" s="27">
        <f t="shared" si="34"/>
        <v>4104</v>
      </c>
      <c r="AI45" s="27">
        <f t="shared" si="34"/>
        <v>4233.6000000000004</v>
      </c>
      <c r="AJ45" s="27">
        <f t="shared" si="34"/>
        <v>4363.2</v>
      </c>
      <c r="AK45" s="27">
        <f t="shared" si="34"/>
        <v>4492.8</v>
      </c>
      <c r="AL45" s="27">
        <f t="shared" si="34"/>
        <v>4622.4000000000005</v>
      </c>
      <c r="AM45" s="27">
        <f t="shared" si="34"/>
        <v>4752</v>
      </c>
      <c r="AN45" s="27">
        <f t="shared" si="34"/>
        <v>4881.6000000000004</v>
      </c>
      <c r="AO45" s="27">
        <f t="shared" si="34"/>
        <v>5011.2000000000007</v>
      </c>
      <c r="AP45" s="27">
        <f t="shared" si="34"/>
        <v>5140.8</v>
      </c>
      <c r="AQ45" s="27">
        <f t="shared" si="34"/>
        <v>5270.4000000000005</v>
      </c>
      <c r="AR45" s="27">
        <f t="shared" si="34"/>
        <v>5400</v>
      </c>
      <c r="AS45" s="27">
        <f t="shared" si="34"/>
        <v>5529.6</v>
      </c>
      <c r="AT45" s="27">
        <f t="shared" si="34"/>
        <v>5659.2000000000007</v>
      </c>
      <c r="AU45" s="27">
        <f t="shared" si="34"/>
        <v>5788.8</v>
      </c>
      <c r="AV45" s="27">
        <f t="shared" si="34"/>
        <v>5918.4000000000005</v>
      </c>
      <c r="AW45" s="27">
        <f t="shared" si="34"/>
        <v>6048</v>
      </c>
      <c r="AX45" s="27">
        <f t="shared" si="34"/>
        <v>6177.6</v>
      </c>
      <c r="AY45" s="27">
        <f t="shared" si="34"/>
        <v>6307.2000000000007</v>
      </c>
      <c r="AZ45" s="27">
        <f t="shared" si="34"/>
        <v>6436.8</v>
      </c>
      <c r="BA45" s="27">
        <f t="shared" si="34"/>
        <v>6566.4000000000005</v>
      </c>
      <c r="BB45" s="27">
        <f t="shared" si="34"/>
        <v>6696</v>
      </c>
      <c r="BC45" s="27">
        <f t="shared" si="34"/>
        <v>6825.6</v>
      </c>
      <c r="BD45" s="27">
        <f t="shared" si="34"/>
        <v>6955.2000000000007</v>
      </c>
      <c r="BE45" s="27">
        <f t="shared" si="34"/>
        <v>7084.8</v>
      </c>
      <c r="BF45" s="27">
        <f t="shared" si="34"/>
        <v>7214.4000000000005</v>
      </c>
      <c r="BG45" s="27">
        <f t="shared" si="34"/>
        <v>7344</v>
      </c>
      <c r="BH45" s="27">
        <f t="shared" si="34"/>
        <v>7473.6</v>
      </c>
      <c r="BI45" s="27">
        <f t="shared" si="34"/>
        <v>7603.2000000000007</v>
      </c>
      <c r="BJ45" s="27">
        <f t="shared" si="34"/>
        <v>7732.8</v>
      </c>
      <c r="BK45" s="27">
        <f t="shared" si="34"/>
        <v>7862.4000000000005</v>
      </c>
      <c r="BL45" s="27">
        <f t="shared" si="34"/>
        <v>7992</v>
      </c>
      <c r="BM45" s="27">
        <f t="shared" si="34"/>
        <v>8121.6</v>
      </c>
      <c r="BN45" s="27">
        <f t="shared" si="34"/>
        <v>8251.2000000000007</v>
      </c>
      <c r="BO45" s="27">
        <f t="shared" ref="BO45:CG45" si="35">BO41*(1-BO44)</f>
        <v>8380.8000000000011</v>
      </c>
      <c r="BP45" s="27">
        <f t="shared" si="35"/>
        <v>8510.4</v>
      </c>
      <c r="BQ45" s="27">
        <f t="shared" si="35"/>
        <v>8640</v>
      </c>
      <c r="BR45" s="27">
        <f t="shared" si="35"/>
        <v>8769.6</v>
      </c>
      <c r="BS45" s="27">
        <f t="shared" si="35"/>
        <v>8899.2000000000007</v>
      </c>
      <c r="BT45" s="27">
        <f t="shared" si="35"/>
        <v>9028.8000000000011</v>
      </c>
      <c r="BU45" s="27">
        <f t="shared" si="35"/>
        <v>9158.4</v>
      </c>
      <c r="BV45" s="27">
        <f t="shared" si="35"/>
        <v>9288</v>
      </c>
      <c r="BW45" s="27">
        <f t="shared" si="35"/>
        <v>9417.6</v>
      </c>
      <c r="BX45" s="27">
        <f t="shared" si="35"/>
        <v>9547.2000000000007</v>
      </c>
      <c r="BY45" s="27">
        <f t="shared" si="35"/>
        <v>9676.8000000000011</v>
      </c>
      <c r="BZ45" s="27">
        <f t="shared" si="35"/>
        <v>9806.4</v>
      </c>
      <c r="CA45" s="27">
        <f t="shared" si="35"/>
        <v>9936</v>
      </c>
      <c r="CB45" s="27">
        <f t="shared" si="35"/>
        <v>10065.6</v>
      </c>
      <c r="CC45" s="27">
        <f t="shared" si="35"/>
        <v>10195.200000000001</v>
      </c>
      <c r="CD45" s="27">
        <f t="shared" si="35"/>
        <v>10324.800000000001</v>
      </c>
      <c r="CE45" s="27">
        <f t="shared" si="35"/>
        <v>10454.400000000001</v>
      </c>
      <c r="CF45" s="27">
        <f t="shared" si="35"/>
        <v>10584</v>
      </c>
      <c r="CG45" s="27">
        <f t="shared" si="35"/>
        <v>10713.6</v>
      </c>
    </row>
    <row r="46" spans="1:85" s="110" customFormat="1" x14ac:dyDescent="0.2">
      <c r="A46" s="110" t="s">
        <v>306</v>
      </c>
      <c r="B46" s="27">
        <f>B41*B44</f>
        <v>0</v>
      </c>
      <c r="C46" s="27">
        <f t="shared" ref="C46:BN46" si="36">C41*C44</f>
        <v>0</v>
      </c>
      <c r="D46" s="27">
        <f t="shared" si="36"/>
        <v>0</v>
      </c>
      <c r="E46" s="27">
        <f t="shared" si="36"/>
        <v>0</v>
      </c>
      <c r="F46" s="27">
        <f t="shared" si="36"/>
        <v>0</v>
      </c>
      <c r="G46" s="27">
        <f t="shared" si="36"/>
        <v>0</v>
      </c>
      <c r="H46" s="27">
        <f t="shared" si="36"/>
        <v>0</v>
      </c>
      <c r="I46" s="27">
        <f t="shared" si="36"/>
        <v>0</v>
      </c>
      <c r="J46" s="27">
        <f t="shared" si="36"/>
        <v>0</v>
      </c>
      <c r="K46" s="27">
        <f t="shared" si="36"/>
        <v>0</v>
      </c>
      <c r="L46" s="27">
        <f t="shared" si="36"/>
        <v>0</v>
      </c>
      <c r="M46" s="27">
        <f t="shared" si="36"/>
        <v>0</v>
      </c>
      <c r="N46" s="27">
        <f t="shared" si="36"/>
        <v>378</v>
      </c>
      <c r="O46" s="27">
        <f t="shared" si="36"/>
        <v>410.40000000000003</v>
      </c>
      <c r="P46" s="27">
        <f t="shared" si="36"/>
        <v>442.8</v>
      </c>
      <c r="Q46" s="27">
        <f t="shared" si="36"/>
        <v>475.20000000000005</v>
      </c>
      <c r="R46" s="27">
        <f t="shared" si="36"/>
        <v>507.6</v>
      </c>
      <c r="S46" s="27">
        <f t="shared" si="36"/>
        <v>540</v>
      </c>
      <c r="T46" s="27">
        <f t="shared" si="36"/>
        <v>572.4</v>
      </c>
      <c r="U46" s="27">
        <f t="shared" si="36"/>
        <v>604.80000000000007</v>
      </c>
      <c r="V46" s="27">
        <f t="shared" si="36"/>
        <v>637.20000000000005</v>
      </c>
      <c r="W46" s="27">
        <f t="shared" si="36"/>
        <v>669.6</v>
      </c>
      <c r="X46" s="27">
        <f t="shared" si="36"/>
        <v>702</v>
      </c>
      <c r="Y46" s="27">
        <f t="shared" si="36"/>
        <v>734.40000000000009</v>
      </c>
      <c r="Z46" s="27">
        <f t="shared" si="36"/>
        <v>766.80000000000007</v>
      </c>
      <c r="AA46" s="27">
        <f t="shared" si="36"/>
        <v>799.2</v>
      </c>
      <c r="AB46" s="27">
        <f t="shared" si="36"/>
        <v>831.6</v>
      </c>
      <c r="AC46" s="27">
        <f t="shared" si="36"/>
        <v>864</v>
      </c>
      <c r="AD46" s="27">
        <f t="shared" si="36"/>
        <v>896.40000000000009</v>
      </c>
      <c r="AE46" s="27">
        <f t="shared" si="36"/>
        <v>928.80000000000007</v>
      </c>
      <c r="AF46" s="27">
        <f t="shared" si="36"/>
        <v>961.2</v>
      </c>
      <c r="AG46" s="27">
        <f t="shared" si="36"/>
        <v>993.6</v>
      </c>
      <c r="AH46" s="27">
        <f t="shared" si="36"/>
        <v>1026</v>
      </c>
      <c r="AI46" s="27">
        <f t="shared" si="36"/>
        <v>1058.4000000000001</v>
      </c>
      <c r="AJ46" s="27">
        <f t="shared" si="36"/>
        <v>1090.8</v>
      </c>
      <c r="AK46" s="27">
        <f t="shared" si="36"/>
        <v>1123.2</v>
      </c>
      <c r="AL46" s="27">
        <f t="shared" si="36"/>
        <v>1155.6000000000001</v>
      </c>
      <c r="AM46" s="27">
        <f t="shared" si="36"/>
        <v>1188</v>
      </c>
      <c r="AN46" s="27">
        <f t="shared" si="36"/>
        <v>1220.4000000000001</v>
      </c>
      <c r="AO46" s="27">
        <f t="shared" si="36"/>
        <v>1252.8000000000002</v>
      </c>
      <c r="AP46" s="27">
        <f t="shared" si="36"/>
        <v>1285.2</v>
      </c>
      <c r="AQ46" s="27">
        <f t="shared" si="36"/>
        <v>1317.6000000000001</v>
      </c>
      <c r="AR46" s="27">
        <f t="shared" si="36"/>
        <v>1350</v>
      </c>
      <c r="AS46" s="27">
        <f t="shared" si="36"/>
        <v>1382.4</v>
      </c>
      <c r="AT46" s="27">
        <f t="shared" si="36"/>
        <v>1414.8000000000002</v>
      </c>
      <c r="AU46" s="27">
        <f t="shared" si="36"/>
        <v>1447.2</v>
      </c>
      <c r="AV46" s="27">
        <f t="shared" si="36"/>
        <v>1479.6000000000001</v>
      </c>
      <c r="AW46" s="27">
        <f t="shared" si="36"/>
        <v>1512</v>
      </c>
      <c r="AX46" s="27">
        <f t="shared" si="36"/>
        <v>1544.4</v>
      </c>
      <c r="AY46" s="27">
        <f t="shared" si="36"/>
        <v>1576.8000000000002</v>
      </c>
      <c r="AZ46" s="27">
        <f t="shared" si="36"/>
        <v>1609.2</v>
      </c>
      <c r="BA46" s="27">
        <f t="shared" si="36"/>
        <v>1641.6000000000001</v>
      </c>
      <c r="BB46" s="27">
        <f t="shared" si="36"/>
        <v>1674</v>
      </c>
      <c r="BC46" s="27">
        <f t="shared" si="36"/>
        <v>1706.4</v>
      </c>
      <c r="BD46" s="27">
        <f t="shared" si="36"/>
        <v>1738.8000000000002</v>
      </c>
      <c r="BE46" s="27">
        <f t="shared" si="36"/>
        <v>1771.2</v>
      </c>
      <c r="BF46" s="27">
        <f t="shared" si="36"/>
        <v>1803.6000000000001</v>
      </c>
      <c r="BG46" s="27">
        <f t="shared" si="36"/>
        <v>1836</v>
      </c>
      <c r="BH46" s="27">
        <f t="shared" si="36"/>
        <v>1868.4</v>
      </c>
      <c r="BI46" s="27">
        <f t="shared" si="36"/>
        <v>1900.8000000000002</v>
      </c>
      <c r="BJ46" s="27">
        <f t="shared" si="36"/>
        <v>1933.2</v>
      </c>
      <c r="BK46" s="27">
        <f t="shared" si="36"/>
        <v>1965.6000000000001</v>
      </c>
      <c r="BL46" s="27">
        <f t="shared" si="36"/>
        <v>1998</v>
      </c>
      <c r="BM46" s="27">
        <f t="shared" si="36"/>
        <v>2030.4</v>
      </c>
      <c r="BN46" s="27">
        <f t="shared" si="36"/>
        <v>2062.8000000000002</v>
      </c>
      <c r="BO46" s="27">
        <f t="shared" ref="BO46:CG46" si="37">BO41*BO44</f>
        <v>2095.2000000000003</v>
      </c>
      <c r="BP46" s="27">
        <f t="shared" si="37"/>
        <v>2127.6</v>
      </c>
      <c r="BQ46" s="27">
        <f t="shared" si="37"/>
        <v>2160</v>
      </c>
      <c r="BR46" s="27">
        <f t="shared" si="37"/>
        <v>2192.4</v>
      </c>
      <c r="BS46" s="27">
        <f t="shared" si="37"/>
        <v>2224.8000000000002</v>
      </c>
      <c r="BT46" s="27">
        <f t="shared" si="37"/>
        <v>2257.2000000000003</v>
      </c>
      <c r="BU46" s="27">
        <f t="shared" si="37"/>
        <v>2289.6</v>
      </c>
      <c r="BV46" s="27">
        <f t="shared" si="37"/>
        <v>2322</v>
      </c>
      <c r="BW46" s="27">
        <f t="shared" si="37"/>
        <v>2354.4</v>
      </c>
      <c r="BX46" s="27">
        <f t="shared" si="37"/>
        <v>2386.8000000000002</v>
      </c>
      <c r="BY46" s="27">
        <f t="shared" si="37"/>
        <v>2419.2000000000003</v>
      </c>
      <c r="BZ46" s="27">
        <f t="shared" si="37"/>
        <v>2451.6</v>
      </c>
      <c r="CA46" s="27">
        <f t="shared" si="37"/>
        <v>2484</v>
      </c>
      <c r="CB46" s="27">
        <f t="shared" si="37"/>
        <v>2516.4</v>
      </c>
      <c r="CC46" s="27">
        <f t="shared" si="37"/>
        <v>2548.8000000000002</v>
      </c>
      <c r="CD46" s="27">
        <f t="shared" si="37"/>
        <v>2581.2000000000003</v>
      </c>
      <c r="CE46" s="27">
        <f t="shared" si="37"/>
        <v>2613.6000000000004</v>
      </c>
      <c r="CF46" s="27">
        <f t="shared" si="37"/>
        <v>2646</v>
      </c>
      <c r="CG46" s="27">
        <f t="shared" si="37"/>
        <v>2678.4</v>
      </c>
    </row>
    <row r="48" spans="1:85" s="82" customFormat="1" x14ac:dyDescent="0.2">
      <c r="A48" s="82" t="s">
        <v>307</v>
      </c>
      <c r="B48" s="108">
        <f>B43*B46</f>
        <v>0</v>
      </c>
      <c r="C48" s="108">
        <f t="shared" ref="C48:BN48" si="38">C43*C46</f>
        <v>0</v>
      </c>
      <c r="D48" s="108">
        <f t="shared" si="38"/>
        <v>0</v>
      </c>
      <c r="E48" s="108">
        <f t="shared" si="38"/>
        <v>0</v>
      </c>
      <c r="F48" s="108">
        <f t="shared" si="38"/>
        <v>0</v>
      </c>
      <c r="G48" s="108">
        <f t="shared" si="38"/>
        <v>0</v>
      </c>
      <c r="H48" s="108">
        <f t="shared" si="38"/>
        <v>0</v>
      </c>
      <c r="I48" s="108">
        <f t="shared" si="38"/>
        <v>0</v>
      </c>
      <c r="J48" s="108">
        <f t="shared" si="38"/>
        <v>0</v>
      </c>
      <c r="K48" s="108">
        <f t="shared" si="38"/>
        <v>0</v>
      </c>
      <c r="L48" s="108">
        <f t="shared" si="38"/>
        <v>0</v>
      </c>
      <c r="M48" s="108">
        <f t="shared" si="38"/>
        <v>0</v>
      </c>
      <c r="N48" s="108">
        <f t="shared" si="38"/>
        <v>3780</v>
      </c>
      <c r="O48" s="108">
        <f t="shared" si="38"/>
        <v>4104</v>
      </c>
      <c r="P48" s="108">
        <f t="shared" si="38"/>
        <v>4428</v>
      </c>
      <c r="Q48" s="108">
        <f t="shared" si="38"/>
        <v>4752</v>
      </c>
      <c r="R48" s="108">
        <f t="shared" si="38"/>
        <v>5076</v>
      </c>
      <c r="S48" s="108">
        <f t="shared" si="38"/>
        <v>5400</v>
      </c>
      <c r="T48" s="108">
        <f t="shared" si="38"/>
        <v>5724</v>
      </c>
      <c r="U48" s="108">
        <f t="shared" si="38"/>
        <v>6048.0000000000009</v>
      </c>
      <c r="V48" s="108">
        <f t="shared" si="38"/>
        <v>6372</v>
      </c>
      <c r="W48" s="108">
        <f t="shared" si="38"/>
        <v>6696</v>
      </c>
      <c r="X48" s="108">
        <f t="shared" si="38"/>
        <v>7020</v>
      </c>
      <c r="Y48" s="108">
        <f t="shared" si="38"/>
        <v>7344.0000000000009</v>
      </c>
      <c r="Z48" s="108">
        <f t="shared" si="38"/>
        <v>19170</v>
      </c>
      <c r="AA48" s="108">
        <f t="shared" si="38"/>
        <v>19980</v>
      </c>
      <c r="AB48" s="108">
        <f t="shared" si="38"/>
        <v>20790</v>
      </c>
      <c r="AC48" s="108">
        <f t="shared" si="38"/>
        <v>21600</v>
      </c>
      <c r="AD48" s="108">
        <f t="shared" si="38"/>
        <v>22410.000000000004</v>
      </c>
      <c r="AE48" s="108">
        <f t="shared" si="38"/>
        <v>23220</v>
      </c>
      <c r="AF48" s="108">
        <f t="shared" si="38"/>
        <v>24030</v>
      </c>
      <c r="AG48" s="108">
        <f t="shared" si="38"/>
        <v>24840</v>
      </c>
      <c r="AH48" s="108">
        <f t="shared" si="38"/>
        <v>25650</v>
      </c>
      <c r="AI48" s="108">
        <f t="shared" si="38"/>
        <v>26460.000000000004</v>
      </c>
      <c r="AJ48" s="108">
        <f t="shared" si="38"/>
        <v>27270</v>
      </c>
      <c r="AK48" s="108">
        <f t="shared" si="38"/>
        <v>28080</v>
      </c>
      <c r="AL48" s="108">
        <f t="shared" si="38"/>
        <v>28890.000000000004</v>
      </c>
      <c r="AM48" s="108">
        <f t="shared" si="38"/>
        <v>29700</v>
      </c>
      <c r="AN48" s="108">
        <f t="shared" si="38"/>
        <v>30510.000000000004</v>
      </c>
      <c r="AO48" s="108">
        <f t="shared" si="38"/>
        <v>31320.000000000004</v>
      </c>
      <c r="AP48" s="108">
        <f t="shared" si="38"/>
        <v>32130</v>
      </c>
      <c r="AQ48" s="108">
        <f t="shared" si="38"/>
        <v>32940</v>
      </c>
      <c r="AR48" s="108">
        <f t="shared" si="38"/>
        <v>33750</v>
      </c>
      <c r="AS48" s="108">
        <f t="shared" si="38"/>
        <v>34560</v>
      </c>
      <c r="AT48" s="108">
        <f t="shared" si="38"/>
        <v>35370.000000000007</v>
      </c>
      <c r="AU48" s="108">
        <f t="shared" si="38"/>
        <v>36180</v>
      </c>
      <c r="AV48" s="108">
        <f t="shared" si="38"/>
        <v>36990</v>
      </c>
      <c r="AW48" s="108">
        <f t="shared" si="38"/>
        <v>37800</v>
      </c>
      <c r="AX48" s="108">
        <f t="shared" si="38"/>
        <v>38610</v>
      </c>
      <c r="AY48" s="108">
        <f t="shared" si="38"/>
        <v>39420.000000000007</v>
      </c>
      <c r="AZ48" s="108">
        <f t="shared" si="38"/>
        <v>40230</v>
      </c>
      <c r="BA48" s="108">
        <f t="shared" si="38"/>
        <v>41040</v>
      </c>
      <c r="BB48" s="108">
        <f t="shared" si="38"/>
        <v>41850</v>
      </c>
      <c r="BC48" s="108">
        <f t="shared" si="38"/>
        <v>42660</v>
      </c>
      <c r="BD48" s="108">
        <f t="shared" si="38"/>
        <v>43470.000000000007</v>
      </c>
      <c r="BE48" s="108">
        <f t="shared" si="38"/>
        <v>44280</v>
      </c>
      <c r="BF48" s="108">
        <f t="shared" si="38"/>
        <v>45090</v>
      </c>
      <c r="BG48" s="108">
        <f t="shared" si="38"/>
        <v>45900</v>
      </c>
      <c r="BH48" s="108">
        <f t="shared" si="38"/>
        <v>46710</v>
      </c>
      <c r="BI48" s="108">
        <f t="shared" si="38"/>
        <v>47520.000000000007</v>
      </c>
      <c r="BJ48" s="108">
        <f t="shared" si="38"/>
        <v>48330</v>
      </c>
      <c r="BK48" s="108">
        <f t="shared" si="38"/>
        <v>49140</v>
      </c>
      <c r="BL48" s="108">
        <f t="shared" si="38"/>
        <v>49950</v>
      </c>
      <c r="BM48" s="108">
        <f t="shared" si="38"/>
        <v>50760</v>
      </c>
      <c r="BN48" s="108">
        <f t="shared" si="38"/>
        <v>51570.000000000007</v>
      </c>
      <c r="BO48" s="108">
        <f t="shared" ref="BO48:CG48" si="39">BO43*BO46</f>
        <v>52380.000000000007</v>
      </c>
      <c r="BP48" s="108">
        <f t="shared" si="39"/>
        <v>53190</v>
      </c>
      <c r="BQ48" s="108">
        <f t="shared" si="39"/>
        <v>54000</v>
      </c>
      <c r="BR48" s="108">
        <f t="shared" si="39"/>
        <v>54810</v>
      </c>
      <c r="BS48" s="108">
        <f t="shared" si="39"/>
        <v>55620.000000000007</v>
      </c>
      <c r="BT48" s="108">
        <f t="shared" si="39"/>
        <v>56430.000000000007</v>
      </c>
      <c r="BU48" s="108">
        <f t="shared" si="39"/>
        <v>57240</v>
      </c>
      <c r="BV48" s="108">
        <f t="shared" si="39"/>
        <v>58050</v>
      </c>
      <c r="BW48" s="108">
        <f t="shared" si="39"/>
        <v>58860</v>
      </c>
      <c r="BX48" s="108">
        <f t="shared" si="39"/>
        <v>59670.000000000007</v>
      </c>
      <c r="BY48" s="108">
        <f t="shared" si="39"/>
        <v>60480.000000000007</v>
      </c>
      <c r="BZ48" s="108">
        <f t="shared" si="39"/>
        <v>61290</v>
      </c>
      <c r="CA48" s="108">
        <f t="shared" si="39"/>
        <v>62100</v>
      </c>
      <c r="CB48" s="108">
        <f t="shared" si="39"/>
        <v>62910</v>
      </c>
      <c r="CC48" s="108">
        <f t="shared" si="39"/>
        <v>63720.000000000007</v>
      </c>
      <c r="CD48" s="108">
        <f t="shared" si="39"/>
        <v>64530.000000000007</v>
      </c>
      <c r="CE48" s="108">
        <f t="shared" si="39"/>
        <v>65340.000000000007</v>
      </c>
      <c r="CF48" s="108">
        <f t="shared" si="39"/>
        <v>66150</v>
      </c>
      <c r="CG48" s="108">
        <f t="shared" si="39"/>
        <v>66960</v>
      </c>
    </row>
    <row r="49" spans="1:85" s="11" customFormat="1" x14ac:dyDescent="0.2"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</row>
    <row r="50" spans="1:85" s="15" customFormat="1" x14ac:dyDescent="0.2">
      <c r="A50" s="15" t="s">
        <v>18</v>
      </c>
      <c r="B50" s="108">
        <f>B28+B48</f>
        <v>0</v>
      </c>
      <c r="C50" s="108">
        <f t="shared" ref="C50:BN50" si="40">C28+C48</f>
        <v>0</v>
      </c>
      <c r="D50" s="108">
        <f t="shared" si="40"/>
        <v>0</v>
      </c>
      <c r="E50" s="108">
        <f t="shared" si="40"/>
        <v>0</v>
      </c>
      <c r="F50" s="108">
        <f t="shared" si="40"/>
        <v>0</v>
      </c>
      <c r="G50" s="108">
        <f t="shared" si="40"/>
        <v>0</v>
      </c>
      <c r="H50" s="108">
        <f t="shared" si="40"/>
        <v>0</v>
      </c>
      <c r="I50" s="108">
        <f t="shared" si="40"/>
        <v>0</v>
      </c>
      <c r="J50" s="108">
        <f t="shared" si="40"/>
        <v>0</v>
      </c>
      <c r="K50" s="108">
        <f t="shared" si="40"/>
        <v>0</v>
      </c>
      <c r="L50" s="108">
        <f t="shared" si="40"/>
        <v>0</v>
      </c>
      <c r="M50" s="108">
        <f t="shared" si="40"/>
        <v>0</v>
      </c>
      <c r="N50" s="108">
        <f t="shared" si="40"/>
        <v>30988</v>
      </c>
      <c r="O50" s="108">
        <f t="shared" si="40"/>
        <v>41762</v>
      </c>
      <c r="P50" s="108">
        <f t="shared" si="40"/>
        <v>52536</v>
      </c>
      <c r="Q50" s="108">
        <f t="shared" si="40"/>
        <v>63310</v>
      </c>
      <c r="R50" s="108">
        <f t="shared" si="40"/>
        <v>74084</v>
      </c>
      <c r="S50" s="108">
        <f t="shared" si="40"/>
        <v>84858</v>
      </c>
      <c r="T50" s="108">
        <f t="shared" si="40"/>
        <v>95632</v>
      </c>
      <c r="U50" s="108">
        <f t="shared" si="40"/>
        <v>106406</v>
      </c>
      <c r="V50" s="108">
        <f t="shared" si="40"/>
        <v>117180</v>
      </c>
      <c r="W50" s="108">
        <f t="shared" si="40"/>
        <v>127954</v>
      </c>
      <c r="X50" s="108">
        <f t="shared" si="40"/>
        <v>138728</v>
      </c>
      <c r="Y50" s="108">
        <f t="shared" si="40"/>
        <v>149502</v>
      </c>
      <c r="Z50" s="108">
        <f t="shared" si="40"/>
        <v>442466.25</v>
      </c>
      <c r="AA50" s="108">
        <f t="shared" si="40"/>
        <v>600026.25</v>
      </c>
      <c r="AB50" s="108">
        <f t="shared" si="40"/>
        <v>757586.25</v>
      </c>
      <c r="AC50" s="108">
        <f t="shared" si="40"/>
        <v>915146.25</v>
      </c>
      <c r="AD50" s="108">
        <f t="shared" si="40"/>
        <v>1072706.25</v>
      </c>
      <c r="AE50" s="108">
        <f t="shared" si="40"/>
        <v>1230266.25</v>
      </c>
      <c r="AF50" s="108">
        <f t="shared" si="40"/>
        <v>1387826.25</v>
      </c>
      <c r="AG50" s="108">
        <f t="shared" si="40"/>
        <v>1545386.25</v>
      </c>
      <c r="AH50" s="108">
        <f t="shared" si="40"/>
        <v>1702946.25</v>
      </c>
      <c r="AI50" s="108">
        <f t="shared" si="40"/>
        <v>1860506.25</v>
      </c>
      <c r="AJ50" s="108">
        <f t="shared" si="40"/>
        <v>2018066.25</v>
      </c>
      <c r="AK50" s="108">
        <f t="shared" si="40"/>
        <v>2175626.25</v>
      </c>
      <c r="AL50" s="108">
        <f t="shared" si="40"/>
        <v>3101285</v>
      </c>
      <c r="AM50" s="108">
        <f t="shared" si="40"/>
        <v>3311095</v>
      </c>
      <c r="AN50" s="108">
        <f t="shared" si="40"/>
        <v>3520905</v>
      </c>
      <c r="AO50" s="108">
        <f t="shared" si="40"/>
        <v>3730715</v>
      </c>
      <c r="AP50" s="108">
        <f t="shared" si="40"/>
        <v>3940525</v>
      </c>
      <c r="AQ50" s="108">
        <f t="shared" si="40"/>
        <v>4150335</v>
      </c>
      <c r="AR50" s="108">
        <f t="shared" si="40"/>
        <v>4360145</v>
      </c>
      <c r="AS50" s="108">
        <f t="shared" si="40"/>
        <v>4569955</v>
      </c>
      <c r="AT50" s="108">
        <f t="shared" si="40"/>
        <v>4779765</v>
      </c>
      <c r="AU50" s="108">
        <f t="shared" si="40"/>
        <v>4989575</v>
      </c>
      <c r="AV50" s="108">
        <f t="shared" si="40"/>
        <v>5199385</v>
      </c>
      <c r="AW50" s="108">
        <f t="shared" si="40"/>
        <v>5409195</v>
      </c>
      <c r="AX50" s="108">
        <f t="shared" si="40"/>
        <v>5619005</v>
      </c>
      <c r="AY50" s="108">
        <f t="shared" si="40"/>
        <v>5828815</v>
      </c>
      <c r="AZ50" s="108">
        <f t="shared" si="40"/>
        <v>6038625</v>
      </c>
      <c r="BA50" s="108">
        <f t="shared" si="40"/>
        <v>6248435</v>
      </c>
      <c r="BB50" s="108">
        <f t="shared" si="40"/>
        <v>6458245</v>
      </c>
      <c r="BC50" s="108">
        <f t="shared" si="40"/>
        <v>6668055</v>
      </c>
      <c r="BD50" s="108">
        <f t="shared" si="40"/>
        <v>6877865</v>
      </c>
      <c r="BE50" s="108">
        <f t="shared" si="40"/>
        <v>7087675</v>
      </c>
      <c r="BF50" s="108">
        <f t="shared" si="40"/>
        <v>7297485</v>
      </c>
      <c r="BG50" s="108">
        <f t="shared" si="40"/>
        <v>7507295</v>
      </c>
      <c r="BH50" s="108">
        <f t="shared" si="40"/>
        <v>7717105</v>
      </c>
      <c r="BI50" s="108">
        <f t="shared" si="40"/>
        <v>7926915</v>
      </c>
      <c r="BJ50" s="108">
        <f t="shared" si="40"/>
        <v>8136725</v>
      </c>
      <c r="BK50" s="108">
        <f t="shared" si="40"/>
        <v>8346535</v>
      </c>
      <c r="BL50" s="108">
        <f t="shared" si="40"/>
        <v>8556345</v>
      </c>
      <c r="BM50" s="108">
        <f t="shared" si="40"/>
        <v>8766155</v>
      </c>
      <c r="BN50" s="108">
        <f t="shared" si="40"/>
        <v>8975965</v>
      </c>
      <c r="BO50" s="108">
        <f t="shared" ref="BO50:CG50" si="41">BO28+BO48</f>
        <v>9185775</v>
      </c>
      <c r="BP50" s="108">
        <f t="shared" si="41"/>
        <v>9395585</v>
      </c>
      <c r="BQ50" s="108">
        <f t="shared" si="41"/>
        <v>9605395</v>
      </c>
      <c r="BR50" s="108">
        <f t="shared" si="41"/>
        <v>9815205</v>
      </c>
      <c r="BS50" s="108">
        <f t="shared" si="41"/>
        <v>10025015</v>
      </c>
      <c r="BT50" s="108">
        <f t="shared" si="41"/>
        <v>10234825</v>
      </c>
      <c r="BU50" s="108">
        <f t="shared" si="41"/>
        <v>10444635</v>
      </c>
      <c r="BV50" s="108">
        <f t="shared" si="41"/>
        <v>10654445</v>
      </c>
      <c r="BW50" s="108">
        <f t="shared" si="41"/>
        <v>10864255</v>
      </c>
      <c r="BX50" s="108">
        <f t="shared" si="41"/>
        <v>11074065</v>
      </c>
      <c r="BY50" s="108">
        <f t="shared" si="41"/>
        <v>11283875</v>
      </c>
      <c r="BZ50" s="108">
        <f t="shared" si="41"/>
        <v>11493685</v>
      </c>
      <c r="CA50" s="108">
        <f t="shared" si="41"/>
        <v>11703495</v>
      </c>
      <c r="CB50" s="108">
        <f t="shared" si="41"/>
        <v>11913305</v>
      </c>
      <c r="CC50" s="108">
        <f t="shared" si="41"/>
        <v>12123115</v>
      </c>
      <c r="CD50" s="108">
        <f t="shared" si="41"/>
        <v>12332925</v>
      </c>
      <c r="CE50" s="108">
        <f t="shared" si="41"/>
        <v>12542735</v>
      </c>
      <c r="CF50" s="108">
        <f t="shared" si="41"/>
        <v>12752545</v>
      </c>
      <c r="CG50" s="108">
        <f t="shared" si="41"/>
        <v>12962355</v>
      </c>
    </row>
    <row r="52" spans="1:85" s="12" customFormat="1" x14ac:dyDescent="0.2">
      <c r="A5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</row>
  </sheetData>
  <pageMargins left="0.5" right="0.5" top="0.5" bottom="0.5" header="0.5" footer="0.5"/>
  <pageSetup scale="53" orientation="portrait" horizontalDpi="4294967292" verticalDpi="4294967292"/>
  <colBreaks count="1" manualBreakCount="1">
    <brk id="10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3377-62B0-844D-B3E6-3D2187077FE9}">
  <dimension ref="A1:Q64"/>
  <sheetViews>
    <sheetView workbookViewId="0">
      <selection activeCell="L28" sqref="L28"/>
    </sheetView>
  </sheetViews>
  <sheetFormatPr baseColWidth="10" defaultRowHeight="16" x14ac:dyDescent="0.2"/>
  <cols>
    <col min="1" max="1" width="34" bestFit="1" customWidth="1"/>
    <col min="2" max="2" width="6.5" bestFit="1" customWidth="1"/>
    <col min="3" max="9" width="10.83203125" style="3" customWidth="1"/>
    <col min="10" max="10" width="6.83203125" customWidth="1"/>
    <col min="18" max="18" width="4.6640625" customWidth="1"/>
  </cols>
  <sheetData>
    <row r="1" spans="1:11" x14ac:dyDescent="0.2">
      <c r="B1" s="17" t="s">
        <v>11</v>
      </c>
      <c r="C1" s="17" t="s">
        <v>0</v>
      </c>
      <c r="D1" s="17" t="s">
        <v>1</v>
      </c>
      <c r="E1" s="17" t="s">
        <v>7</v>
      </c>
      <c r="F1" s="17" t="s">
        <v>8</v>
      </c>
      <c r="G1" s="17" t="s">
        <v>9</v>
      </c>
      <c r="H1" s="17" t="s">
        <v>24</v>
      </c>
      <c r="I1" s="17" t="s">
        <v>25</v>
      </c>
    </row>
    <row r="2" spans="1:11" x14ac:dyDescent="0.2">
      <c r="B2" s="17"/>
      <c r="C2" s="17"/>
      <c r="D2" s="17"/>
      <c r="E2" s="17"/>
      <c r="F2" s="17"/>
      <c r="G2" s="17"/>
      <c r="H2" s="17"/>
      <c r="I2" s="17"/>
      <c r="K2" s="39"/>
    </row>
    <row r="3" spans="1:11" x14ac:dyDescent="0.2">
      <c r="A3" t="s">
        <v>89</v>
      </c>
      <c r="B3" s="47">
        <v>45292</v>
      </c>
      <c r="C3" s="17"/>
      <c r="D3" s="17"/>
      <c r="E3" s="17"/>
      <c r="F3" s="17"/>
      <c r="G3" s="17"/>
      <c r="H3" s="17"/>
      <c r="I3" s="17"/>
    </row>
    <row r="4" spans="1:11" x14ac:dyDescent="0.2">
      <c r="B4" s="64"/>
      <c r="C4" s="17"/>
      <c r="D4" s="17"/>
      <c r="E4" s="17"/>
      <c r="F4" s="17"/>
      <c r="G4" s="17"/>
      <c r="H4" s="17"/>
      <c r="I4" s="17"/>
    </row>
    <row r="5" spans="1:11" x14ac:dyDescent="0.2">
      <c r="A5" t="s">
        <v>227</v>
      </c>
      <c r="B5" s="64"/>
      <c r="C5" s="17"/>
      <c r="D5" s="17"/>
      <c r="E5" s="17"/>
      <c r="F5" s="17"/>
      <c r="G5" s="17"/>
      <c r="H5" s="17"/>
      <c r="I5" s="17"/>
    </row>
    <row r="6" spans="1:11" x14ac:dyDescent="0.2">
      <c r="A6" t="s">
        <v>228</v>
      </c>
      <c r="B6" s="64"/>
      <c r="C6" s="42">
        <v>50</v>
      </c>
      <c r="D6" s="42">
        <v>50</v>
      </c>
      <c r="E6" s="42">
        <v>50</v>
      </c>
      <c r="F6" s="42">
        <v>50</v>
      </c>
      <c r="G6" s="42">
        <v>50</v>
      </c>
      <c r="H6" s="42">
        <v>50</v>
      </c>
      <c r="I6" s="42">
        <v>50</v>
      </c>
    </row>
    <row r="7" spans="1:11" x14ac:dyDescent="0.2">
      <c r="A7" t="s">
        <v>130</v>
      </c>
      <c r="B7" s="64"/>
      <c r="C7" s="43">
        <v>0.05</v>
      </c>
      <c r="D7" s="43">
        <v>0.25</v>
      </c>
      <c r="E7" s="43">
        <v>0.5</v>
      </c>
      <c r="F7" s="43">
        <v>0.5</v>
      </c>
      <c r="G7" s="43">
        <v>0.5</v>
      </c>
      <c r="H7" s="43">
        <v>0.5</v>
      </c>
      <c r="I7" s="43">
        <v>0.5</v>
      </c>
    </row>
    <row r="8" spans="1:11" x14ac:dyDescent="0.2">
      <c r="A8" t="s">
        <v>12</v>
      </c>
      <c r="B8" s="18"/>
      <c r="C8" s="43">
        <v>0.1</v>
      </c>
      <c r="D8" s="43">
        <v>0.1</v>
      </c>
      <c r="E8" s="43">
        <v>0.12</v>
      </c>
      <c r="F8" s="43">
        <v>0.15</v>
      </c>
      <c r="G8" s="43">
        <v>0.15</v>
      </c>
      <c r="H8" s="43">
        <v>0.15</v>
      </c>
      <c r="I8" s="43">
        <v>0.15</v>
      </c>
      <c r="K8" s="19"/>
    </row>
    <row r="9" spans="1:11" x14ac:dyDescent="0.2">
      <c r="A9" t="s">
        <v>92</v>
      </c>
      <c r="B9" s="18"/>
      <c r="C9" s="43">
        <v>0.05</v>
      </c>
      <c r="D9" s="43">
        <v>0.05</v>
      </c>
      <c r="E9" s="43">
        <v>0.05</v>
      </c>
      <c r="F9" s="43">
        <v>0.05</v>
      </c>
      <c r="G9" s="43">
        <v>0.05</v>
      </c>
      <c r="H9" s="43">
        <v>0.05</v>
      </c>
      <c r="I9" s="43">
        <v>0.05</v>
      </c>
    </row>
    <row r="10" spans="1:11" x14ac:dyDescent="0.2">
      <c r="B10" s="64"/>
      <c r="C10" s="17"/>
      <c r="D10" s="17"/>
      <c r="E10" s="17"/>
      <c r="F10" s="17"/>
      <c r="G10" s="17"/>
      <c r="H10" s="17"/>
      <c r="I10" s="17"/>
    </row>
    <row r="11" spans="1:11" x14ac:dyDescent="0.2">
      <c r="B11" s="64"/>
      <c r="C11" s="17"/>
      <c r="D11" s="17"/>
      <c r="E11" s="17"/>
      <c r="F11" s="17"/>
      <c r="G11" s="17"/>
      <c r="H11" s="17"/>
      <c r="I11" s="17"/>
    </row>
    <row r="12" spans="1:11" x14ac:dyDescent="0.2">
      <c r="A12" s="18" t="s">
        <v>146</v>
      </c>
    </row>
    <row r="13" spans="1:11" x14ac:dyDescent="0.2">
      <c r="A13" s="11" t="s">
        <v>83</v>
      </c>
      <c r="C13" s="42">
        <v>20</v>
      </c>
      <c r="D13" s="42">
        <v>15</v>
      </c>
      <c r="E13" s="42">
        <v>10</v>
      </c>
      <c r="F13" s="42">
        <v>10</v>
      </c>
      <c r="G13" s="42">
        <v>10</v>
      </c>
      <c r="H13" s="42">
        <v>10</v>
      </c>
      <c r="I13" s="42">
        <v>10</v>
      </c>
    </row>
    <row r="14" spans="1:11" x14ac:dyDescent="0.2">
      <c r="A14" s="11" t="s">
        <v>166</v>
      </c>
      <c r="C14" s="43">
        <v>0.2</v>
      </c>
      <c r="D14" s="43">
        <v>0.3</v>
      </c>
      <c r="E14" s="43">
        <v>0.3</v>
      </c>
      <c r="F14" s="43">
        <v>0.4</v>
      </c>
      <c r="G14" s="43">
        <v>0.5</v>
      </c>
      <c r="H14" s="43">
        <v>0.5</v>
      </c>
      <c r="I14" s="43">
        <v>0.5</v>
      </c>
    </row>
    <row r="15" spans="1:11" x14ac:dyDescent="0.2">
      <c r="A15" s="11" t="s">
        <v>84</v>
      </c>
      <c r="C15" s="43">
        <v>0.05</v>
      </c>
      <c r="D15" s="43">
        <v>0.05</v>
      </c>
      <c r="E15" s="43">
        <v>0.05</v>
      </c>
      <c r="F15" s="43">
        <v>0.05</v>
      </c>
      <c r="G15" s="43">
        <v>0.05</v>
      </c>
      <c r="H15" s="43">
        <v>0.05</v>
      </c>
      <c r="I15" s="43">
        <v>0.05</v>
      </c>
    </row>
    <row r="16" spans="1:11" x14ac:dyDescent="0.2">
      <c r="A16" s="15"/>
      <c r="B16" s="26"/>
      <c r="C16" s="19"/>
    </row>
    <row r="17" spans="1:17" x14ac:dyDescent="0.2">
      <c r="B17" s="25"/>
      <c r="C17" s="19"/>
    </row>
    <row r="18" spans="1:17" x14ac:dyDescent="0.2">
      <c r="A18" s="1" t="s">
        <v>243</v>
      </c>
      <c r="B18" s="18"/>
      <c r="C18" s="17"/>
      <c r="D18" s="17"/>
      <c r="E18" s="17"/>
      <c r="F18" s="17"/>
      <c r="G18" s="17"/>
      <c r="H18" s="17"/>
      <c r="I18" s="17"/>
      <c r="K18" s="28"/>
    </row>
    <row r="19" spans="1:17" x14ac:dyDescent="0.2">
      <c r="A19" t="s">
        <v>13</v>
      </c>
      <c r="C19" s="5" t="e">
        <f>AVERAGE(#REF!)</f>
        <v>#REF!</v>
      </c>
      <c r="D19" s="5" t="e">
        <f>AVERAGE(#REF!)</f>
        <v>#REF!</v>
      </c>
      <c r="E19" s="5" t="e">
        <f>AVERAGE(#REF!)</f>
        <v>#REF!</v>
      </c>
      <c r="F19" s="5" t="e">
        <f>AVERAGE(#REF!)</f>
        <v>#REF!</v>
      </c>
      <c r="G19" s="5" t="e">
        <f>AVERAGE(#REF!)</f>
        <v>#REF!</v>
      </c>
      <c r="H19" s="5" t="e">
        <f>AVERAGE(#REF!)</f>
        <v>#REF!</v>
      </c>
      <c r="I19" s="5" t="e">
        <f>AVERAGE(#REF!)</f>
        <v>#REF!</v>
      </c>
      <c r="K19" s="5"/>
      <c r="L19" s="5"/>
      <c r="M19" s="5"/>
      <c r="N19" s="5"/>
      <c r="O19" s="5"/>
      <c r="P19" s="5"/>
      <c r="Q19" s="5"/>
    </row>
    <row r="20" spans="1:17" x14ac:dyDescent="0.2">
      <c r="A20" t="s">
        <v>3</v>
      </c>
      <c r="C20" s="44">
        <v>1.25</v>
      </c>
      <c r="D20" s="44">
        <v>1.25</v>
      </c>
      <c r="E20" s="44">
        <v>1.25</v>
      </c>
      <c r="F20" s="44">
        <v>1.5</v>
      </c>
      <c r="G20" s="44">
        <v>1.5</v>
      </c>
      <c r="H20" s="44">
        <v>1.5</v>
      </c>
      <c r="I20" s="44">
        <v>1.75</v>
      </c>
    </row>
    <row r="21" spans="1:17" x14ac:dyDescent="0.2">
      <c r="A21" t="s">
        <v>4</v>
      </c>
      <c r="C21" s="45">
        <v>0.3</v>
      </c>
      <c r="D21" s="45">
        <v>0.3</v>
      </c>
      <c r="E21" s="45">
        <v>0.3</v>
      </c>
      <c r="F21" s="45">
        <v>0.2</v>
      </c>
      <c r="G21" s="45">
        <v>0.2</v>
      </c>
      <c r="H21" s="45">
        <v>0.2</v>
      </c>
      <c r="I21" s="45">
        <v>0.2</v>
      </c>
    </row>
    <row r="22" spans="1:17" x14ac:dyDescent="0.2">
      <c r="A22" t="s">
        <v>5</v>
      </c>
      <c r="C22" s="4">
        <f t="shared" ref="C22:I22" si="0">C20-C21</f>
        <v>0.95</v>
      </c>
      <c r="D22" s="4">
        <f t="shared" si="0"/>
        <v>0.95</v>
      </c>
      <c r="E22" s="4">
        <f t="shared" si="0"/>
        <v>0.95</v>
      </c>
      <c r="F22" s="4">
        <f t="shared" si="0"/>
        <v>1.3</v>
      </c>
      <c r="G22" s="4">
        <f t="shared" si="0"/>
        <v>1.3</v>
      </c>
      <c r="H22" s="4">
        <f t="shared" si="0"/>
        <v>1.3</v>
      </c>
      <c r="I22" s="4">
        <f t="shared" si="0"/>
        <v>1.55</v>
      </c>
    </row>
    <row r="24" spans="1:17" x14ac:dyDescent="0.2">
      <c r="A24" t="s">
        <v>2</v>
      </c>
      <c r="C24" s="41">
        <v>3.5000000000000003E-2</v>
      </c>
      <c r="D24" s="41">
        <v>3.5000000000000003E-2</v>
      </c>
      <c r="E24" s="41">
        <v>3.5000000000000003E-2</v>
      </c>
      <c r="F24" s="41">
        <v>3.5000000000000003E-2</v>
      </c>
      <c r="G24" s="41">
        <v>3.5000000000000003E-2</v>
      </c>
      <c r="H24" s="41">
        <v>3.5000000000000003E-2</v>
      </c>
      <c r="I24" s="41">
        <v>3.5000000000000003E-2</v>
      </c>
    </row>
    <row r="25" spans="1:17" x14ac:dyDescent="0.2">
      <c r="A25" t="s">
        <v>6</v>
      </c>
      <c r="C25" s="24">
        <v>2.9000000000000001E-2</v>
      </c>
      <c r="D25" s="24">
        <v>2.9000000000000001E-2</v>
      </c>
      <c r="E25" s="24">
        <v>2.9000000000000001E-2</v>
      </c>
      <c r="F25" s="24">
        <v>2.5000000000000001E-2</v>
      </c>
      <c r="G25" s="24">
        <v>2.5000000000000001E-2</v>
      </c>
      <c r="H25" s="24">
        <v>0.02</v>
      </c>
      <c r="I25" s="24">
        <v>0.02</v>
      </c>
    </row>
    <row r="26" spans="1:17" x14ac:dyDescent="0.2">
      <c r="A26" t="s">
        <v>10</v>
      </c>
      <c r="C26" s="23">
        <f t="shared" ref="C26:I26" si="1">C24-C25</f>
        <v>6.0000000000000019E-3</v>
      </c>
      <c r="D26" s="23">
        <f t="shared" si="1"/>
        <v>6.0000000000000019E-3</v>
      </c>
      <c r="E26" s="23">
        <f t="shared" si="1"/>
        <v>6.0000000000000019E-3</v>
      </c>
      <c r="F26" s="23">
        <f t="shared" si="1"/>
        <v>1.0000000000000002E-2</v>
      </c>
      <c r="G26" s="23">
        <f t="shared" si="1"/>
        <v>1.0000000000000002E-2</v>
      </c>
      <c r="H26" s="23">
        <f t="shared" si="1"/>
        <v>1.5000000000000003E-2</v>
      </c>
      <c r="I26" s="23">
        <f t="shared" si="1"/>
        <v>1.5000000000000003E-2</v>
      </c>
    </row>
    <row r="28" spans="1:17" x14ac:dyDescent="0.2">
      <c r="A28" s="18" t="s">
        <v>91</v>
      </c>
      <c r="B28" s="18"/>
    </row>
    <row r="29" spans="1:17" x14ac:dyDescent="0.2">
      <c r="A29" t="s">
        <v>141</v>
      </c>
      <c r="C29" s="42">
        <v>0</v>
      </c>
      <c r="D29" s="42">
        <v>25</v>
      </c>
      <c r="E29" s="42">
        <v>50</v>
      </c>
      <c r="F29" s="42">
        <v>100</v>
      </c>
      <c r="G29" s="42">
        <v>100</v>
      </c>
      <c r="H29" s="42">
        <v>100</v>
      </c>
      <c r="I29" s="42">
        <v>100</v>
      </c>
    </row>
    <row r="30" spans="1:17" x14ac:dyDescent="0.2">
      <c r="A30" t="s">
        <v>133</v>
      </c>
      <c r="C30" s="66">
        <v>0</v>
      </c>
      <c r="D30" s="66">
        <v>0.25</v>
      </c>
      <c r="E30" s="66">
        <v>0.3</v>
      </c>
      <c r="F30" s="66">
        <v>0.35</v>
      </c>
      <c r="G30" s="66">
        <v>0.4</v>
      </c>
      <c r="H30" s="66">
        <v>0.45</v>
      </c>
      <c r="I30" s="66">
        <v>0.5</v>
      </c>
    </row>
    <row r="32" spans="1:17" x14ac:dyDescent="0.2">
      <c r="A32" s="18" t="s">
        <v>131</v>
      </c>
      <c r="B32" s="18"/>
    </row>
    <row r="33" spans="1:10" x14ac:dyDescent="0.2">
      <c r="A33" t="s">
        <v>132</v>
      </c>
      <c r="C33" s="43">
        <v>0</v>
      </c>
      <c r="D33" s="43">
        <v>0</v>
      </c>
      <c r="E33" s="43">
        <v>0.1</v>
      </c>
      <c r="F33" s="43">
        <v>0.1</v>
      </c>
      <c r="G33" s="43">
        <v>0.1</v>
      </c>
      <c r="H33" s="43">
        <v>0.1</v>
      </c>
      <c r="I33" s="43">
        <v>0.1</v>
      </c>
    </row>
    <row r="34" spans="1:10" x14ac:dyDescent="0.2">
      <c r="A34" t="s">
        <v>135</v>
      </c>
      <c r="C34" s="44">
        <v>0</v>
      </c>
      <c r="D34" s="44">
        <v>0</v>
      </c>
      <c r="E34" s="44">
        <v>1.5</v>
      </c>
      <c r="F34" s="44">
        <v>1.5</v>
      </c>
      <c r="G34" s="44">
        <v>1.5</v>
      </c>
      <c r="H34" s="44">
        <v>2</v>
      </c>
      <c r="I34" s="44">
        <v>2</v>
      </c>
    </row>
    <row r="35" spans="1:10" x14ac:dyDescent="0.2">
      <c r="A35" t="s">
        <v>134</v>
      </c>
    </row>
    <row r="36" spans="1:10" x14ac:dyDescent="0.2">
      <c r="A36" s="18"/>
    </row>
    <row r="37" spans="1:10" x14ac:dyDescent="0.2">
      <c r="A37" s="18" t="s">
        <v>136</v>
      </c>
      <c r="C37" s="19"/>
      <c r="D37" s="19"/>
      <c r="E37" s="19"/>
      <c r="F37" s="19"/>
    </row>
    <row r="38" spans="1:10" x14ac:dyDescent="0.2">
      <c r="A38" t="s">
        <v>140</v>
      </c>
      <c r="C38" s="42">
        <v>0</v>
      </c>
      <c r="D38" s="42">
        <v>5</v>
      </c>
      <c r="E38" s="42">
        <v>5</v>
      </c>
      <c r="F38" s="42">
        <v>5</v>
      </c>
      <c r="G38" s="42">
        <v>5</v>
      </c>
      <c r="H38" s="42">
        <v>7</v>
      </c>
      <c r="I38" s="42">
        <v>7</v>
      </c>
    </row>
    <row r="39" spans="1:10" x14ac:dyDescent="0.2">
      <c r="A39" t="s">
        <v>137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</row>
    <row r="41" spans="1:10" x14ac:dyDescent="0.2">
      <c r="A41" s="18" t="s">
        <v>138</v>
      </c>
    </row>
    <row r="42" spans="1:10" x14ac:dyDescent="0.2">
      <c r="A42" t="s">
        <v>139</v>
      </c>
      <c r="C42" s="42">
        <v>0</v>
      </c>
      <c r="D42" s="42">
        <v>0</v>
      </c>
      <c r="E42" s="42">
        <v>5</v>
      </c>
      <c r="F42" s="42">
        <v>5</v>
      </c>
      <c r="G42" s="42">
        <v>5</v>
      </c>
      <c r="H42" s="42">
        <v>7</v>
      </c>
      <c r="I42" s="42">
        <v>7</v>
      </c>
    </row>
    <row r="43" spans="1:10" x14ac:dyDescent="0.2">
      <c r="A43" t="s">
        <v>142</v>
      </c>
      <c r="C43" s="66">
        <v>0</v>
      </c>
      <c r="D43" s="66">
        <v>0</v>
      </c>
      <c r="E43" s="67">
        <v>2.5000000000000001E-3</v>
      </c>
      <c r="F43" s="67">
        <v>5.0000000000000001E-3</v>
      </c>
      <c r="G43" s="67">
        <v>5.0000000000000001E-3</v>
      </c>
      <c r="H43" s="67">
        <v>7.4999999999999997E-3</v>
      </c>
      <c r="I43" s="67">
        <v>7.4999999999999997E-3</v>
      </c>
    </row>
    <row r="44" spans="1:10" x14ac:dyDescent="0.2">
      <c r="A44" t="s">
        <v>143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81"/>
    </row>
    <row r="47" spans="1:10" x14ac:dyDescent="0.2">
      <c r="A47" s="18" t="s">
        <v>149</v>
      </c>
    </row>
    <row r="48" spans="1:10" x14ac:dyDescent="0.2">
      <c r="A48" s="92" t="s">
        <v>202</v>
      </c>
      <c r="C48" s="93" t="s">
        <v>203</v>
      </c>
    </row>
    <row r="49" spans="1:3" x14ac:dyDescent="0.2">
      <c r="A49" t="s">
        <v>1</v>
      </c>
      <c r="C49" s="19">
        <v>0.1</v>
      </c>
    </row>
    <row r="50" spans="1:3" x14ac:dyDescent="0.2">
      <c r="A50" t="s">
        <v>7</v>
      </c>
      <c r="C50" s="19">
        <v>0.1</v>
      </c>
    </row>
    <row r="51" spans="1:3" x14ac:dyDescent="0.2">
      <c r="A51" t="s">
        <v>8</v>
      </c>
      <c r="C51" s="19">
        <v>0.1</v>
      </c>
    </row>
    <row r="52" spans="1:3" x14ac:dyDescent="0.2">
      <c r="A52" t="s">
        <v>9</v>
      </c>
      <c r="C52" s="19">
        <v>0.1</v>
      </c>
    </row>
    <row r="53" spans="1:3" x14ac:dyDescent="0.2">
      <c r="A53" t="s">
        <v>24</v>
      </c>
      <c r="C53" s="19">
        <v>0.1</v>
      </c>
    </row>
    <row r="54" spans="1:3" x14ac:dyDescent="0.2">
      <c r="A54" t="s">
        <v>25</v>
      </c>
      <c r="C54" s="19">
        <v>0.1</v>
      </c>
    </row>
    <row r="56" spans="1:3" x14ac:dyDescent="0.2">
      <c r="A56" s="92" t="s">
        <v>201</v>
      </c>
      <c r="C56" s="93" t="s">
        <v>203</v>
      </c>
    </row>
    <row r="57" spans="1:3" x14ac:dyDescent="0.2">
      <c r="A57" t="s">
        <v>0</v>
      </c>
      <c r="C57" s="25">
        <v>0</v>
      </c>
    </row>
    <row r="58" spans="1:3" x14ac:dyDescent="0.2">
      <c r="A58" t="s">
        <v>1</v>
      </c>
      <c r="C58" s="25">
        <v>0</v>
      </c>
    </row>
    <row r="59" spans="1:3" x14ac:dyDescent="0.2">
      <c r="A59" t="s">
        <v>7</v>
      </c>
      <c r="C59" s="25">
        <v>0</v>
      </c>
    </row>
    <row r="60" spans="1:3" x14ac:dyDescent="0.2">
      <c r="A60" t="s">
        <v>8</v>
      </c>
      <c r="C60" s="25">
        <f>10%</f>
        <v>0.1</v>
      </c>
    </row>
    <row r="61" spans="1:3" x14ac:dyDescent="0.2">
      <c r="A61" t="s">
        <v>9</v>
      </c>
      <c r="C61" s="25">
        <v>0.15</v>
      </c>
    </row>
    <row r="62" spans="1:3" x14ac:dyDescent="0.2">
      <c r="A62" t="s">
        <v>24</v>
      </c>
      <c r="C62" s="25">
        <v>0.15</v>
      </c>
    </row>
    <row r="63" spans="1:3" x14ac:dyDescent="0.2">
      <c r="A63" t="s">
        <v>25</v>
      </c>
      <c r="C63" s="25">
        <v>0.15</v>
      </c>
    </row>
    <row r="64" spans="1:3" x14ac:dyDescent="0.2">
      <c r="C64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B945-A4CD-2E4F-89B6-9426DC59D346}">
  <sheetPr>
    <pageSetUpPr fitToPage="1"/>
  </sheetPr>
  <dimension ref="A1:CO50"/>
  <sheetViews>
    <sheetView workbookViewId="0">
      <pane xSplit="1" ySplit="2" topLeftCell="B4" activePane="bottomRight" state="frozen"/>
      <selection activeCell="E30" sqref="E30"/>
      <selection pane="topRight" activeCell="E30" sqref="E30"/>
      <selection pane="bottomLeft" activeCell="E30" sqref="E30"/>
      <selection pane="bottomRight" activeCell="K36" sqref="K36"/>
    </sheetView>
  </sheetViews>
  <sheetFormatPr baseColWidth="10" defaultRowHeight="16" x14ac:dyDescent="0.2"/>
  <cols>
    <col min="1" max="1" width="31.33203125" customWidth="1"/>
    <col min="2" max="5" width="14.83203125" style="12" customWidth="1"/>
    <col min="6" max="6" width="15.33203125" style="12" bestFit="1" customWidth="1"/>
    <col min="7" max="7" width="14.83203125" style="12" customWidth="1"/>
    <col min="8" max="8" width="15.33203125" style="12" bestFit="1" customWidth="1"/>
    <col min="9" max="9" width="2.33203125" style="12" customWidth="1"/>
    <col min="10" max="10" width="8.83203125" style="3" customWidth="1"/>
    <col min="11" max="11" width="8" style="3" bestFit="1" customWidth="1"/>
    <col min="12" max="24" width="8.83203125" style="3" customWidth="1"/>
    <col min="25" max="35" width="9.33203125" style="3" bestFit="1" customWidth="1"/>
    <col min="36" max="39" width="10.83203125" style="3" bestFit="1" customWidth="1"/>
    <col min="40" max="49" width="10.83203125" style="3" customWidth="1"/>
    <col min="50" max="59" width="11.83203125" style="3" bestFit="1" customWidth="1"/>
    <col min="60" max="80" width="12.83203125" style="3" bestFit="1" customWidth="1"/>
    <col min="81" max="81" width="14.33203125" style="3" bestFit="1" customWidth="1"/>
    <col min="82" max="92" width="12.83203125" style="3" bestFit="1" customWidth="1"/>
    <col min="93" max="93" width="14.33203125" style="3" bestFit="1" customWidth="1"/>
  </cols>
  <sheetData>
    <row r="1" spans="1:93" s="6" customFormat="1" x14ac:dyDescent="0.2">
      <c r="B1" s="2">
        <v>2024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  <c r="I1" s="7"/>
      <c r="J1" s="6">
        <f>' Inputs'!B3</f>
        <v>45292</v>
      </c>
      <c r="K1" s="6">
        <f>J1+31</f>
        <v>45323</v>
      </c>
      <c r="L1" s="6">
        <f t="shared" ref="L1:AG1" si="0">K1+31</f>
        <v>45354</v>
      </c>
      <c r="M1" s="6">
        <f t="shared" si="0"/>
        <v>45385</v>
      </c>
      <c r="N1" s="6">
        <f t="shared" si="0"/>
        <v>45416</v>
      </c>
      <c r="O1" s="6">
        <f t="shared" si="0"/>
        <v>45447</v>
      </c>
      <c r="P1" s="6">
        <f t="shared" si="0"/>
        <v>45478</v>
      </c>
      <c r="Q1" s="6">
        <f t="shared" si="0"/>
        <v>45509</v>
      </c>
      <c r="R1" s="6">
        <f t="shared" si="0"/>
        <v>45540</v>
      </c>
      <c r="S1" s="6">
        <f t="shared" si="0"/>
        <v>45571</v>
      </c>
      <c r="T1" s="6">
        <f t="shared" si="0"/>
        <v>45602</v>
      </c>
      <c r="U1" s="6">
        <f t="shared" si="0"/>
        <v>45633</v>
      </c>
      <c r="V1" s="6">
        <f t="shared" si="0"/>
        <v>45664</v>
      </c>
      <c r="W1" s="6">
        <f t="shared" si="0"/>
        <v>45695</v>
      </c>
      <c r="X1" s="6">
        <f t="shared" si="0"/>
        <v>45726</v>
      </c>
      <c r="Y1" s="6">
        <f t="shared" si="0"/>
        <v>45757</v>
      </c>
      <c r="Z1" s="6">
        <f t="shared" si="0"/>
        <v>45788</v>
      </c>
      <c r="AA1" s="6">
        <f t="shared" si="0"/>
        <v>45819</v>
      </c>
      <c r="AB1" s="6">
        <f t="shared" si="0"/>
        <v>45850</v>
      </c>
      <c r="AC1" s="6">
        <f t="shared" si="0"/>
        <v>45881</v>
      </c>
      <c r="AD1" s="6">
        <f t="shared" si="0"/>
        <v>45912</v>
      </c>
      <c r="AE1" s="6">
        <f t="shared" si="0"/>
        <v>45943</v>
      </c>
      <c r="AF1" s="6">
        <f t="shared" si="0"/>
        <v>45974</v>
      </c>
      <c r="AG1" s="6">
        <f t="shared" si="0"/>
        <v>46005</v>
      </c>
      <c r="AH1" s="6">
        <f t="shared" ref="AH1" si="1">AG1+31</f>
        <v>46036</v>
      </c>
      <c r="AI1" s="6">
        <f t="shared" ref="AI1" si="2">AH1+31</f>
        <v>46067</v>
      </c>
      <c r="AJ1" s="6">
        <f t="shared" ref="AJ1" si="3">AI1+31</f>
        <v>46098</v>
      </c>
      <c r="AK1" s="6">
        <f t="shared" ref="AK1" si="4">AJ1+31</f>
        <v>46129</v>
      </c>
      <c r="AL1" s="6">
        <f t="shared" ref="AL1" si="5">AK1+31</f>
        <v>46160</v>
      </c>
      <c r="AM1" s="6">
        <f t="shared" ref="AM1" si="6">AL1+31</f>
        <v>46191</v>
      </c>
      <c r="AN1" s="6">
        <f t="shared" ref="AN1" si="7">AM1+31</f>
        <v>46222</v>
      </c>
      <c r="AO1" s="6">
        <f t="shared" ref="AO1" si="8">AN1+31</f>
        <v>46253</v>
      </c>
      <c r="AP1" s="6">
        <f t="shared" ref="AP1" si="9">AO1+31</f>
        <v>46284</v>
      </c>
      <c r="AQ1" s="6">
        <f t="shared" ref="AQ1" si="10">AP1+31</f>
        <v>46315</v>
      </c>
      <c r="AR1" s="6">
        <f t="shared" ref="AR1" si="11">AQ1+31</f>
        <v>46346</v>
      </c>
      <c r="AS1" s="6">
        <f t="shared" ref="AS1" si="12">AR1+31</f>
        <v>46377</v>
      </c>
      <c r="AT1" s="6">
        <f t="shared" ref="AT1" si="13">AS1+31</f>
        <v>46408</v>
      </c>
      <c r="AU1" s="6">
        <f t="shared" ref="AU1" si="14">AT1+31</f>
        <v>46439</v>
      </c>
      <c r="AV1" s="6">
        <f t="shared" ref="AV1" si="15">AU1+31</f>
        <v>46470</v>
      </c>
      <c r="AW1" s="6">
        <f t="shared" ref="AW1" si="16">AV1+31</f>
        <v>46501</v>
      </c>
      <c r="AX1" s="6">
        <f t="shared" ref="AX1" si="17">AW1+31</f>
        <v>46532</v>
      </c>
      <c r="AY1" s="6">
        <f t="shared" ref="AY1" si="18">AX1+31</f>
        <v>46563</v>
      </c>
      <c r="AZ1" s="6">
        <f t="shared" ref="AZ1" si="19">AY1+31</f>
        <v>46594</v>
      </c>
      <c r="BA1" s="6">
        <f t="shared" ref="BA1" si="20">AZ1+31</f>
        <v>46625</v>
      </c>
      <c r="BB1" s="6">
        <f t="shared" ref="BB1" si="21">BA1+31</f>
        <v>46656</v>
      </c>
      <c r="BC1" s="6">
        <f t="shared" ref="BC1" si="22">BB1+31</f>
        <v>46687</v>
      </c>
      <c r="BD1" s="6">
        <f t="shared" ref="BD1" si="23">BC1+31</f>
        <v>46718</v>
      </c>
      <c r="BE1" s="6">
        <f t="shared" ref="BE1" si="24">BD1+31</f>
        <v>46749</v>
      </c>
      <c r="BF1" s="6">
        <f t="shared" ref="BF1" si="25">BE1+31</f>
        <v>46780</v>
      </c>
      <c r="BG1" s="6">
        <f t="shared" ref="BG1" si="26">BF1+31</f>
        <v>46811</v>
      </c>
      <c r="BH1" s="6">
        <f t="shared" ref="BH1" si="27">BG1+31</f>
        <v>46842</v>
      </c>
      <c r="BI1" s="6">
        <f t="shared" ref="BI1" si="28">BH1+31</f>
        <v>46873</v>
      </c>
      <c r="BJ1" s="6">
        <f t="shared" ref="BJ1" si="29">BI1+31</f>
        <v>46904</v>
      </c>
      <c r="BK1" s="6">
        <f t="shared" ref="BK1" si="30">BJ1+31</f>
        <v>46935</v>
      </c>
      <c r="BL1" s="6">
        <f t="shared" ref="BL1" si="31">BK1+31</f>
        <v>46966</v>
      </c>
      <c r="BM1" s="6">
        <f t="shared" ref="BM1" si="32">BL1+31</f>
        <v>46997</v>
      </c>
      <c r="BN1" s="6">
        <f t="shared" ref="BN1" si="33">BM1+31</f>
        <v>47028</v>
      </c>
      <c r="BO1" s="6">
        <f t="shared" ref="BO1" si="34">BN1+31</f>
        <v>47059</v>
      </c>
      <c r="BP1" s="6">
        <f t="shared" ref="BP1" si="35">BO1+31</f>
        <v>47090</v>
      </c>
      <c r="BQ1" s="6">
        <f t="shared" ref="BQ1" si="36">BP1+31</f>
        <v>47121</v>
      </c>
      <c r="BR1" s="6">
        <f t="shared" ref="BR1" si="37">BQ1+31</f>
        <v>47152</v>
      </c>
      <c r="BS1" s="6">
        <f t="shared" ref="BS1" si="38">BR1+31</f>
        <v>47183</v>
      </c>
      <c r="BT1" s="6">
        <f t="shared" ref="BT1" si="39">BS1+31</f>
        <v>47214</v>
      </c>
      <c r="BU1" s="6">
        <f t="shared" ref="BU1" si="40">BT1+31</f>
        <v>47245</v>
      </c>
      <c r="BV1" s="6">
        <f t="shared" ref="BV1" si="41">BU1+31</f>
        <v>47276</v>
      </c>
      <c r="BW1" s="6">
        <f t="shared" ref="BW1" si="42">BV1+31</f>
        <v>47307</v>
      </c>
      <c r="BX1" s="6">
        <f t="shared" ref="BX1" si="43">BW1+31</f>
        <v>47338</v>
      </c>
      <c r="BY1" s="6">
        <f t="shared" ref="BY1" si="44">BX1+31</f>
        <v>47369</v>
      </c>
      <c r="BZ1" s="6">
        <f t="shared" ref="BZ1" si="45">BY1+31</f>
        <v>47400</v>
      </c>
      <c r="CA1" s="6">
        <f t="shared" ref="CA1" si="46">BZ1+31</f>
        <v>47431</v>
      </c>
      <c r="CB1" s="6">
        <f t="shared" ref="CB1:CC1" si="47">CA1+31</f>
        <v>47462</v>
      </c>
      <c r="CC1" s="6">
        <f t="shared" si="47"/>
        <v>47493</v>
      </c>
      <c r="CD1" s="6">
        <f t="shared" ref="CD1" si="48">CC1+31</f>
        <v>47524</v>
      </c>
      <c r="CE1" s="6">
        <f t="shared" ref="CE1" si="49">CD1+31</f>
        <v>47555</v>
      </c>
      <c r="CF1" s="6">
        <f t="shared" ref="CF1" si="50">CE1+31</f>
        <v>47586</v>
      </c>
      <c r="CG1" s="6">
        <f t="shared" ref="CG1" si="51">CF1+31</f>
        <v>47617</v>
      </c>
      <c r="CH1" s="6">
        <f t="shared" ref="CH1" si="52">CG1+31</f>
        <v>47648</v>
      </c>
      <c r="CI1" s="6">
        <f t="shared" ref="CI1" si="53">CH1+31</f>
        <v>47679</v>
      </c>
      <c r="CJ1" s="6">
        <f t="shared" ref="CJ1" si="54">CI1+31</f>
        <v>47710</v>
      </c>
      <c r="CK1" s="6">
        <f t="shared" ref="CK1" si="55">CJ1+31</f>
        <v>47741</v>
      </c>
      <c r="CL1" s="6">
        <f t="shared" ref="CL1" si="56">CK1+31</f>
        <v>47772</v>
      </c>
      <c r="CM1" s="6">
        <f t="shared" ref="CM1" si="57">CL1+31</f>
        <v>47803</v>
      </c>
      <c r="CN1" s="6">
        <f t="shared" ref="CN1" si="58">CM1+31</f>
        <v>47834</v>
      </c>
      <c r="CO1" s="6">
        <f t="shared" ref="CO1" si="59">CN1+31</f>
        <v>47865</v>
      </c>
    </row>
    <row r="2" spans="1:93" s="1" customFormat="1" x14ac:dyDescent="0.2">
      <c r="B2" s="21" t="s">
        <v>0</v>
      </c>
      <c r="C2" s="7" t="s">
        <v>1</v>
      </c>
      <c r="D2" s="21" t="s">
        <v>7</v>
      </c>
      <c r="E2" s="7" t="s">
        <v>8</v>
      </c>
      <c r="F2" s="21" t="s">
        <v>9</v>
      </c>
      <c r="G2" s="21" t="s">
        <v>24</v>
      </c>
      <c r="H2" s="21" t="s">
        <v>25</v>
      </c>
      <c r="I2" s="7"/>
      <c r="J2" s="2" t="str">
        <f t="shared" ref="J2:AG2" si="60">CONCATENATE("Month ", J3)</f>
        <v>Month 1</v>
      </c>
      <c r="K2" s="2" t="str">
        <f t="shared" si="60"/>
        <v>Month 2</v>
      </c>
      <c r="L2" s="2" t="str">
        <f t="shared" si="60"/>
        <v>Month 3</v>
      </c>
      <c r="M2" s="2" t="str">
        <f t="shared" si="60"/>
        <v>Month 4</v>
      </c>
      <c r="N2" s="2" t="str">
        <f t="shared" si="60"/>
        <v>Month 5</v>
      </c>
      <c r="O2" s="2" t="str">
        <f t="shared" si="60"/>
        <v>Month 6</v>
      </c>
      <c r="P2" s="2" t="str">
        <f t="shared" si="60"/>
        <v>Month 7</v>
      </c>
      <c r="Q2" s="2" t="str">
        <f t="shared" si="60"/>
        <v>Month 8</v>
      </c>
      <c r="R2" s="2" t="str">
        <f t="shared" si="60"/>
        <v>Month 9</v>
      </c>
      <c r="S2" s="2" t="str">
        <f t="shared" si="60"/>
        <v>Month 10</v>
      </c>
      <c r="T2" s="2" t="str">
        <f t="shared" si="60"/>
        <v>Month 11</v>
      </c>
      <c r="U2" s="2" t="str">
        <f t="shared" si="60"/>
        <v>Month 12</v>
      </c>
      <c r="V2" s="2" t="str">
        <f t="shared" si="60"/>
        <v>Month 13</v>
      </c>
      <c r="W2" s="2" t="str">
        <f t="shared" si="60"/>
        <v>Month 14</v>
      </c>
      <c r="X2" s="2" t="str">
        <f t="shared" si="60"/>
        <v>Month 15</v>
      </c>
      <c r="Y2" s="2" t="str">
        <f t="shared" si="60"/>
        <v>Month 16</v>
      </c>
      <c r="Z2" s="2" t="str">
        <f t="shared" si="60"/>
        <v>Month 17</v>
      </c>
      <c r="AA2" s="2" t="str">
        <f t="shared" si="60"/>
        <v>Month 18</v>
      </c>
      <c r="AB2" s="2" t="str">
        <f t="shared" si="60"/>
        <v>Month 19</v>
      </c>
      <c r="AC2" s="2" t="str">
        <f t="shared" si="60"/>
        <v>Month 20</v>
      </c>
      <c r="AD2" s="2" t="str">
        <f t="shared" si="60"/>
        <v>Month 21</v>
      </c>
      <c r="AE2" s="2" t="str">
        <f t="shared" si="60"/>
        <v>Month 22</v>
      </c>
      <c r="AF2" s="2" t="str">
        <f t="shared" si="60"/>
        <v>Month 23</v>
      </c>
      <c r="AG2" s="2" t="str">
        <f t="shared" si="60"/>
        <v>Month 24</v>
      </c>
      <c r="AH2" s="2" t="str">
        <f t="shared" ref="AH2:CO2" si="61">CONCATENATE("Month ", AH3)</f>
        <v>Month 25</v>
      </c>
      <c r="AI2" s="2" t="str">
        <f t="shared" si="61"/>
        <v>Month 26</v>
      </c>
      <c r="AJ2" s="2" t="str">
        <f t="shared" si="61"/>
        <v>Month 27</v>
      </c>
      <c r="AK2" s="2" t="str">
        <f t="shared" si="61"/>
        <v>Month 28</v>
      </c>
      <c r="AL2" s="2" t="str">
        <f t="shared" si="61"/>
        <v>Month 29</v>
      </c>
      <c r="AM2" s="2" t="str">
        <f t="shared" si="61"/>
        <v>Month 30</v>
      </c>
      <c r="AN2" s="2" t="str">
        <f t="shared" si="61"/>
        <v>Month 31</v>
      </c>
      <c r="AO2" s="2" t="str">
        <f t="shared" si="61"/>
        <v>Month 32</v>
      </c>
      <c r="AP2" s="2" t="str">
        <f t="shared" si="61"/>
        <v>Month 33</v>
      </c>
      <c r="AQ2" s="2" t="str">
        <f t="shared" si="61"/>
        <v>Month 34</v>
      </c>
      <c r="AR2" s="2" t="str">
        <f t="shared" si="61"/>
        <v>Month 35</v>
      </c>
      <c r="AS2" s="2" t="str">
        <f t="shared" si="61"/>
        <v>Month 36</v>
      </c>
      <c r="AT2" s="2" t="str">
        <f t="shared" si="61"/>
        <v>Month 37</v>
      </c>
      <c r="AU2" s="2" t="str">
        <f t="shared" si="61"/>
        <v>Month 38</v>
      </c>
      <c r="AV2" s="2" t="str">
        <f t="shared" si="61"/>
        <v>Month 39</v>
      </c>
      <c r="AW2" s="2" t="str">
        <f t="shared" si="61"/>
        <v>Month 40</v>
      </c>
      <c r="AX2" s="2" t="str">
        <f t="shared" si="61"/>
        <v>Month 41</v>
      </c>
      <c r="AY2" s="2" t="str">
        <f t="shared" si="61"/>
        <v>Month 42</v>
      </c>
      <c r="AZ2" s="2" t="str">
        <f t="shared" si="61"/>
        <v>Month 43</v>
      </c>
      <c r="BA2" s="2" t="str">
        <f t="shared" si="61"/>
        <v>Month 44</v>
      </c>
      <c r="BB2" s="2" t="str">
        <f t="shared" si="61"/>
        <v>Month 45</v>
      </c>
      <c r="BC2" s="2" t="str">
        <f t="shared" si="61"/>
        <v>Month 46</v>
      </c>
      <c r="BD2" s="2" t="str">
        <f t="shared" si="61"/>
        <v>Month 47</v>
      </c>
      <c r="BE2" s="2" t="str">
        <f t="shared" si="61"/>
        <v>Month 48</v>
      </c>
      <c r="BF2" s="2" t="str">
        <f t="shared" si="61"/>
        <v>Month 49</v>
      </c>
      <c r="BG2" s="2" t="str">
        <f t="shared" si="61"/>
        <v>Month 50</v>
      </c>
      <c r="BH2" s="2" t="str">
        <f t="shared" si="61"/>
        <v>Month 51</v>
      </c>
      <c r="BI2" s="2" t="str">
        <f t="shared" si="61"/>
        <v>Month 52</v>
      </c>
      <c r="BJ2" s="2" t="str">
        <f t="shared" si="61"/>
        <v>Month 53</v>
      </c>
      <c r="BK2" s="2" t="str">
        <f t="shared" si="61"/>
        <v>Month 54</v>
      </c>
      <c r="BL2" s="2" t="str">
        <f t="shared" si="61"/>
        <v>Month 55</v>
      </c>
      <c r="BM2" s="2" t="str">
        <f t="shared" si="61"/>
        <v>Month 56</v>
      </c>
      <c r="BN2" s="2" t="str">
        <f t="shared" si="61"/>
        <v>Month 57</v>
      </c>
      <c r="BO2" s="2" t="str">
        <f t="shared" si="61"/>
        <v>Month 58</v>
      </c>
      <c r="BP2" s="2" t="str">
        <f t="shared" si="61"/>
        <v>Month 59</v>
      </c>
      <c r="BQ2" s="2" t="str">
        <f t="shared" si="61"/>
        <v>Month 60</v>
      </c>
      <c r="BR2" s="2" t="str">
        <f t="shared" si="61"/>
        <v>Month 61</v>
      </c>
      <c r="BS2" s="2" t="str">
        <f t="shared" si="61"/>
        <v>Month 62</v>
      </c>
      <c r="BT2" s="2" t="str">
        <f t="shared" si="61"/>
        <v>Month 63</v>
      </c>
      <c r="BU2" s="2" t="str">
        <f t="shared" si="61"/>
        <v>Month 64</v>
      </c>
      <c r="BV2" s="2" t="str">
        <f t="shared" si="61"/>
        <v>Month 65</v>
      </c>
      <c r="BW2" s="2" t="str">
        <f t="shared" si="61"/>
        <v>Month 66</v>
      </c>
      <c r="BX2" s="2" t="str">
        <f t="shared" si="61"/>
        <v>Month 67</v>
      </c>
      <c r="BY2" s="2" t="str">
        <f t="shared" si="61"/>
        <v>Month 68</v>
      </c>
      <c r="BZ2" s="2" t="str">
        <f t="shared" si="61"/>
        <v>Month 69</v>
      </c>
      <c r="CA2" s="2" t="str">
        <f t="shared" si="61"/>
        <v>Month 70</v>
      </c>
      <c r="CB2" s="2" t="str">
        <f t="shared" si="61"/>
        <v>Month 71</v>
      </c>
      <c r="CC2" s="2" t="str">
        <f t="shared" si="61"/>
        <v>Month 72</v>
      </c>
      <c r="CD2" s="2" t="str">
        <f t="shared" si="61"/>
        <v>Month 73</v>
      </c>
      <c r="CE2" s="2" t="str">
        <f t="shared" si="61"/>
        <v>Month 74</v>
      </c>
      <c r="CF2" s="2" t="str">
        <f t="shared" si="61"/>
        <v>Month 75</v>
      </c>
      <c r="CG2" s="2" t="str">
        <f t="shared" si="61"/>
        <v>Month 76</v>
      </c>
      <c r="CH2" s="2" t="str">
        <f t="shared" si="61"/>
        <v>Month 77</v>
      </c>
      <c r="CI2" s="2" t="str">
        <f t="shared" si="61"/>
        <v>Month 78</v>
      </c>
      <c r="CJ2" s="2" t="str">
        <f t="shared" si="61"/>
        <v>Month 79</v>
      </c>
      <c r="CK2" s="2" t="str">
        <f t="shared" si="61"/>
        <v>Month 80</v>
      </c>
      <c r="CL2" s="2" t="str">
        <f t="shared" si="61"/>
        <v>Month 81</v>
      </c>
      <c r="CM2" s="2" t="str">
        <f t="shared" si="61"/>
        <v>Month 82</v>
      </c>
      <c r="CN2" s="2" t="str">
        <f t="shared" si="61"/>
        <v>Month 83</v>
      </c>
      <c r="CO2" s="2" t="str">
        <f t="shared" si="61"/>
        <v>Month 84</v>
      </c>
    </row>
    <row r="3" spans="1:93" s="9" customFormat="1" hidden="1" x14ac:dyDescent="0.2">
      <c r="B3" s="7"/>
      <c r="C3" s="7"/>
      <c r="D3" s="7"/>
      <c r="E3" s="7"/>
      <c r="F3" s="7"/>
      <c r="G3" s="7"/>
      <c r="H3" s="7"/>
      <c r="I3" s="7"/>
      <c r="J3" s="10">
        <v>1</v>
      </c>
      <c r="K3" s="10">
        <v>2</v>
      </c>
      <c r="L3" s="10">
        <v>3</v>
      </c>
      <c r="M3" s="10">
        <v>4</v>
      </c>
      <c r="N3" s="10">
        <v>5</v>
      </c>
      <c r="O3" s="10">
        <v>6</v>
      </c>
      <c r="P3" s="10">
        <v>7</v>
      </c>
      <c r="Q3" s="10">
        <v>8</v>
      </c>
      <c r="R3" s="10">
        <v>9</v>
      </c>
      <c r="S3" s="10">
        <v>10</v>
      </c>
      <c r="T3" s="10">
        <v>11</v>
      </c>
      <c r="U3" s="10">
        <v>12</v>
      </c>
      <c r="V3" s="10">
        <v>13</v>
      </c>
      <c r="W3" s="10">
        <v>14</v>
      </c>
      <c r="X3" s="10">
        <v>15</v>
      </c>
      <c r="Y3" s="10">
        <v>16</v>
      </c>
      <c r="Z3" s="10">
        <v>17</v>
      </c>
      <c r="AA3" s="10">
        <v>18</v>
      </c>
      <c r="AB3" s="10">
        <v>19</v>
      </c>
      <c r="AC3" s="10">
        <v>20</v>
      </c>
      <c r="AD3" s="10">
        <v>21</v>
      </c>
      <c r="AE3" s="10">
        <v>22</v>
      </c>
      <c r="AF3" s="10">
        <v>23</v>
      </c>
      <c r="AG3" s="10">
        <v>24</v>
      </c>
      <c r="AH3" s="10">
        <v>25</v>
      </c>
      <c r="AI3" s="10">
        <v>26</v>
      </c>
      <c r="AJ3" s="10">
        <v>27</v>
      </c>
      <c r="AK3" s="10">
        <v>28</v>
      </c>
      <c r="AL3" s="10">
        <v>29</v>
      </c>
      <c r="AM3" s="10">
        <v>30</v>
      </c>
      <c r="AN3" s="10">
        <v>31</v>
      </c>
      <c r="AO3" s="10">
        <v>32</v>
      </c>
      <c r="AP3" s="10">
        <v>33</v>
      </c>
      <c r="AQ3" s="10">
        <v>34</v>
      </c>
      <c r="AR3" s="10">
        <v>35</v>
      </c>
      <c r="AS3" s="10">
        <v>36</v>
      </c>
      <c r="AT3" s="10">
        <v>37</v>
      </c>
      <c r="AU3" s="10">
        <v>38</v>
      </c>
      <c r="AV3" s="10">
        <v>39</v>
      </c>
      <c r="AW3" s="10">
        <v>40</v>
      </c>
      <c r="AX3" s="10">
        <v>41</v>
      </c>
      <c r="AY3" s="10">
        <v>42</v>
      </c>
      <c r="AZ3" s="10">
        <v>43</v>
      </c>
      <c r="BA3" s="10">
        <v>44</v>
      </c>
      <c r="BB3" s="10">
        <v>45</v>
      </c>
      <c r="BC3" s="10">
        <v>46</v>
      </c>
      <c r="BD3" s="10">
        <v>47</v>
      </c>
      <c r="BE3" s="10">
        <v>48</v>
      </c>
      <c r="BF3" s="10">
        <v>49</v>
      </c>
      <c r="BG3" s="10">
        <v>50</v>
      </c>
      <c r="BH3" s="10">
        <v>51</v>
      </c>
      <c r="BI3" s="10">
        <v>52</v>
      </c>
      <c r="BJ3" s="10">
        <v>53</v>
      </c>
      <c r="BK3" s="10">
        <v>54</v>
      </c>
      <c r="BL3" s="10">
        <v>55</v>
      </c>
      <c r="BM3" s="10">
        <v>56</v>
      </c>
      <c r="BN3" s="10">
        <v>57</v>
      </c>
      <c r="BO3" s="10">
        <v>58</v>
      </c>
      <c r="BP3" s="10">
        <v>59</v>
      </c>
      <c r="BQ3" s="10">
        <v>60</v>
      </c>
      <c r="BR3" s="10">
        <v>61</v>
      </c>
      <c r="BS3" s="10">
        <v>62</v>
      </c>
      <c r="BT3" s="10">
        <v>63</v>
      </c>
      <c r="BU3" s="10">
        <v>64</v>
      </c>
      <c r="BV3" s="10">
        <v>65</v>
      </c>
      <c r="BW3" s="10">
        <v>66</v>
      </c>
      <c r="BX3" s="10">
        <v>67</v>
      </c>
      <c r="BY3" s="10">
        <v>68</v>
      </c>
      <c r="BZ3" s="10">
        <v>69</v>
      </c>
      <c r="CA3" s="10">
        <v>70</v>
      </c>
      <c r="CB3" s="10">
        <v>71</v>
      </c>
      <c r="CC3" s="10">
        <v>72</v>
      </c>
      <c r="CD3" s="10">
        <v>73</v>
      </c>
      <c r="CE3" s="10">
        <v>74</v>
      </c>
      <c r="CF3" s="10">
        <v>75</v>
      </c>
      <c r="CG3" s="10">
        <v>76</v>
      </c>
      <c r="CH3" s="10">
        <v>77</v>
      </c>
      <c r="CI3" s="10">
        <v>78</v>
      </c>
      <c r="CJ3" s="10">
        <v>79</v>
      </c>
      <c r="CK3" s="10">
        <v>80</v>
      </c>
      <c r="CL3" s="10">
        <v>81</v>
      </c>
      <c r="CM3" s="10">
        <v>82</v>
      </c>
      <c r="CN3" s="10">
        <v>83</v>
      </c>
      <c r="CO3" s="10">
        <v>84</v>
      </c>
    </row>
    <row r="4" spans="1:93" s="70" customFormat="1" x14ac:dyDescent="0.2">
      <c r="A4" s="71" t="s">
        <v>314</v>
      </c>
      <c r="B4" s="68"/>
      <c r="C4" s="68"/>
      <c r="D4" s="68"/>
      <c r="E4" s="68"/>
      <c r="F4" s="68"/>
      <c r="G4" s="68"/>
      <c r="H4" s="68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</row>
    <row r="5" spans="1:93" s="11" customFormat="1" x14ac:dyDescent="0.2">
      <c r="A5" s="9" t="s">
        <v>204</v>
      </c>
      <c r="B5" s="12"/>
      <c r="C5" s="12"/>
      <c r="D5" s="12"/>
      <c r="E5" s="12"/>
      <c r="F5" s="12"/>
      <c r="G5" s="12"/>
      <c r="H5" s="12"/>
      <c r="I5" s="12"/>
      <c r="J5" s="3"/>
      <c r="K5"/>
      <c r="L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</row>
    <row r="6" spans="1:93" s="11" customFormat="1" x14ac:dyDescent="0.2">
      <c r="A6" s="22" t="s">
        <v>205</v>
      </c>
      <c r="B6" s="27">
        <f>SUM(J6:U6)</f>
        <v>33.128190700000005</v>
      </c>
      <c r="C6" s="27">
        <f>SUM(V6:AG6)</f>
        <v>70.842263062304767</v>
      </c>
      <c r="D6" s="27">
        <f>SUM(AH6:AS6)</f>
        <v>301.09593802984995</v>
      </c>
      <c r="E6" s="27">
        <f>SUM(AT6:BE6)</f>
        <v>1762.1401136176767</v>
      </c>
      <c r="F6" s="27">
        <f>SUM(BF6:BQ6)</f>
        <v>9427.8903287424328</v>
      </c>
      <c r="G6" s="27">
        <f>SUM(BR6:CC6)</f>
        <v>50441.571225748798</v>
      </c>
      <c r="H6" s="27">
        <f>SUM(CD6:CO6)</f>
        <v>269875.02177082235</v>
      </c>
      <c r="I6" s="12"/>
      <c r="J6" s="3">
        <f>' Inputs'!B8</f>
        <v>0</v>
      </c>
      <c r="K6" s="3">
        <v>2</v>
      </c>
      <c r="L6" s="14">
        <v>5</v>
      </c>
      <c r="M6" s="14">
        <v>5</v>
      </c>
      <c r="N6" s="14">
        <v>5</v>
      </c>
      <c r="O6" s="14">
        <f>N13*' Inputs'!$C$8</f>
        <v>1.7000000000000002</v>
      </c>
      <c r="P6" s="14">
        <f>O13*' Inputs'!$C$8</f>
        <v>1.87</v>
      </c>
      <c r="Q6" s="14">
        <f>P13*' Inputs'!$C$8</f>
        <v>2.0569999999999999</v>
      </c>
      <c r="R6" s="14">
        <f>Q13*' Inputs'!$C$8</f>
        <v>2.2627000000000002</v>
      </c>
      <c r="S6" s="14">
        <f>R13*' Inputs'!$C$8</f>
        <v>2.4889700000000001</v>
      </c>
      <c r="T6" s="14">
        <f>S13*' Inputs'!$C$8</f>
        <v>2.7378670000000001</v>
      </c>
      <c r="U6" s="14">
        <f>T13*' Inputs'!$C$8</f>
        <v>3.0116537000000001</v>
      </c>
      <c r="V6" s="13">
        <f>U13*' Inputs'!$D$8</f>
        <v>3.3128190700000006</v>
      </c>
      <c r="W6" s="13">
        <f>V13*' Inputs'!$D$8</f>
        <v>3.6441009770000008</v>
      </c>
      <c r="X6" s="13">
        <f>W13*' Inputs'!$D$8</f>
        <v>4.0085110747000012</v>
      </c>
      <c r="Y6" s="13">
        <f>X13*' Inputs'!$D$8</f>
        <v>4.4093621821700015</v>
      </c>
      <c r="Z6" s="13">
        <f>Y13*' Inputs'!$D$8</f>
        <v>4.8502984003870013</v>
      </c>
      <c r="AA6" s="13">
        <f>Z13*' Inputs'!$D$8</f>
        <v>5.3353282404257021</v>
      </c>
      <c r="AB6" s="13">
        <f>AA13*' Inputs'!$D$8</f>
        <v>5.8688610644682724</v>
      </c>
      <c r="AC6" s="13">
        <f>AB13*' Inputs'!$D$8</f>
        <v>6.4557471709150995</v>
      </c>
      <c r="AD6" s="13">
        <f>AC13*' Inputs'!$D$8</f>
        <v>7.1013218880066091</v>
      </c>
      <c r="AE6" s="13">
        <f>AD13*' Inputs'!$D$8</f>
        <v>7.8114540768072702</v>
      </c>
      <c r="AF6" s="13">
        <f>AE13*' Inputs'!$D$8</f>
        <v>8.5925994844879963</v>
      </c>
      <c r="AG6" s="13">
        <f>AF13*' Inputs'!$D$8</f>
        <v>9.4518594329367964</v>
      </c>
      <c r="AH6" s="13">
        <f>AG13*' Inputs'!$E$8</f>
        <v>12.47645445147657</v>
      </c>
      <c r="AI6" s="13">
        <f>AH13*' Inputs'!$E$8</f>
        <v>13.973628985653759</v>
      </c>
      <c r="AJ6" s="13">
        <f>AI13*' Inputs'!$E$8</f>
        <v>15.650464463932208</v>
      </c>
      <c r="AK6" s="13">
        <f>AJ13*' Inputs'!$E$8</f>
        <v>17.52852019960407</v>
      </c>
      <c r="AL6" s="13">
        <f>AK13*' Inputs'!$E$8</f>
        <v>19.631942623556558</v>
      </c>
      <c r="AM6" s="13">
        <f>AL13*' Inputs'!$E$8</f>
        <v>21.987775738383348</v>
      </c>
      <c r="AN6" s="13">
        <f>AM13*' Inputs'!$E$8</f>
        <v>24.626308826989348</v>
      </c>
      <c r="AO6" s="13">
        <f>AN13*' Inputs'!$E$8</f>
        <v>27.581465886228067</v>
      </c>
      <c r="AP6" s="13">
        <f>AO13*' Inputs'!$E$8</f>
        <v>30.891241792575435</v>
      </c>
      <c r="AQ6" s="13">
        <f>AP13*' Inputs'!$E$8</f>
        <v>34.598190807684489</v>
      </c>
      <c r="AR6" s="13">
        <f>AQ13*' Inputs'!$E$8</f>
        <v>38.749973704606631</v>
      </c>
      <c r="AS6" s="13">
        <f>AR13*' Inputs'!$E$8</f>
        <v>43.399970549159427</v>
      </c>
      <c r="AT6" s="13">
        <f>AS13*' Inputs'!$F$8</f>
        <v>60.759958768823196</v>
      </c>
      <c r="AU6" s="13">
        <f>AT13*' Inputs'!$F$8</f>
        <v>69.873952584146679</v>
      </c>
      <c r="AV6" s="13">
        <f>AU13*' Inputs'!$F$8</f>
        <v>80.355045471768676</v>
      </c>
      <c r="AW6" s="13">
        <f>AV13*' Inputs'!$F$8</f>
        <v>92.408302292533975</v>
      </c>
      <c r="AX6" s="13">
        <f>AW13*' Inputs'!$F$8</f>
        <v>106.26954763641407</v>
      </c>
      <c r="AY6" s="13">
        <f>AX13*' Inputs'!$F$8</f>
        <v>122.2099797818762</v>
      </c>
      <c r="AZ6" s="13">
        <f>AY13*' Inputs'!$F$8</f>
        <v>140.54147674915762</v>
      </c>
      <c r="BA6" s="13">
        <f>AZ13*' Inputs'!$F$8</f>
        <v>161.62269826153127</v>
      </c>
      <c r="BB6" s="13">
        <f>BA13*' Inputs'!$F$8</f>
        <v>185.86610300076097</v>
      </c>
      <c r="BC6" s="13">
        <f>BB13*' Inputs'!$F$8</f>
        <v>213.74601845087514</v>
      </c>
      <c r="BD6" s="13">
        <f>BC13*' Inputs'!$F$8</f>
        <v>245.80792121850641</v>
      </c>
      <c r="BE6" s="13">
        <f>BD13*' Inputs'!$F$8</f>
        <v>282.67910940128235</v>
      </c>
      <c r="BF6" s="13">
        <f>BE13*' Inputs'!$G$8</f>
        <v>325.08097581147473</v>
      </c>
      <c r="BG6" s="13">
        <f>BF13*' Inputs'!$G$8</f>
        <v>373.84312218319593</v>
      </c>
      <c r="BH6" s="13">
        <f>BG13*' Inputs'!$G$8</f>
        <v>429.91959051067533</v>
      </c>
      <c r="BI6" s="13">
        <f>BH13*' Inputs'!$G$8</f>
        <v>494.40752908727666</v>
      </c>
      <c r="BJ6" s="13">
        <f>BI13*' Inputs'!$G$8</f>
        <v>568.56865845036816</v>
      </c>
      <c r="BK6" s="13">
        <f>BJ13*' Inputs'!$G$8</f>
        <v>653.85395721792338</v>
      </c>
      <c r="BL6" s="13">
        <f>BK13*' Inputs'!$G$8</f>
        <v>751.93205080061182</v>
      </c>
      <c r="BM6" s="13">
        <f>BL13*' Inputs'!$G$8</f>
        <v>864.72185842070371</v>
      </c>
      <c r="BN6" s="13">
        <f>BM13*' Inputs'!$G$8</f>
        <v>994.43013718380928</v>
      </c>
      <c r="BO6" s="13">
        <f>BN13*' Inputs'!$G$8</f>
        <v>1143.5946577613806</v>
      </c>
      <c r="BP6" s="13">
        <f>BO13*' Inputs'!$G$8</f>
        <v>1315.1338564255877</v>
      </c>
      <c r="BQ6" s="13">
        <f>BP13*' Inputs'!$G$8</f>
        <v>1512.403934889426</v>
      </c>
      <c r="BR6" s="13">
        <f>BQ13*' Inputs'!$H$8</f>
        <v>1739.2645251228398</v>
      </c>
      <c r="BS6" s="13">
        <f>BR13*' Inputs'!$H$8</f>
        <v>2000.1542038912658</v>
      </c>
      <c r="BT6" s="13">
        <f>BS13*' Inputs'!$H$8</f>
        <v>2300.1773344749558</v>
      </c>
      <c r="BU6" s="13">
        <f>BT13*' Inputs'!$H$8</f>
        <v>2645.2039346461993</v>
      </c>
      <c r="BV6" s="13">
        <f>BU13*' Inputs'!$H$8</f>
        <v>3041.9845248431293</v>
      </c>
      <c r="BW6" s="13">
        <f>BV13*' Inputs'!$H$8</f>
        <v>3498.282203569599</v>
      </c>
      <c r="BX6" s="13">
        <f>BW13*' Inputs'!$H$8</f>
        <v>4023.024534105039</v>
      </c>
      <c r="BY6" s="13">
        <f>BX13*' Inputs'!$H$8</f>
        <v>4626.4782142207951</v>
      </c>
      <c r="BZ6" s="13">
        <f>BY13*' Inputs'!$H$8</f>
        <v>5320.449946353915</v>
      </c>
      <c r="CA6" s="13">
        <f>BZ13*' Inputs'!$H$8</f>
        <v>6118.5174383070025</v>
      </c>
      <c r="CB6" s="13">
        <f>CA13*' Inputs'!$H$8</f>
        <v>7036.2950540530528</v>
      </c>
      <c r="CC6" s="13">
        <f>CB13*' Inputs'!$H$8</f>
        <v>8091.7393121610103</v>
      </c>
      <c r="CD6" s="13">
        <f>CC13*' Inputs'!$H$8</f>
        <v>9305.5002089851623</v>
      </c>
      <c r="CE6" s="13">
        <f>CD13*' Inputs'!$H$8</f>
        <v>10701.325240332937</v>
      </c>
      <c r="CF6" s="13">
        <f>CE13*' Inputs'!$H$8</f>
        <v>12306.524026382878</v>
      </c>
      <c r="CG6" s="13">
        <f>CF13*' Inputs'!$H$8</f>
        <v>14152.502630340308</v>
      </c>
      <c r="CH6" s="13">
        <f>CG13*' Inputs'!$H$8</f>
        <v>16275.378024891355</v>
      </c>
      <c r="CI6" s="13">
        <f>CH13*' Inputs'!$H$8</f>
        <v>18716.68472862506</v>
      </c>
      <c r="CJ6" s="13">
        <f>CI13*' Inputs'!$H$8</f>
        <v>21524.187437918819</v>
      </c>
      <c r="CK6" s="13">
        <f>CJ13*' Inputs'!$H$8</f>
        <v>24752.815553606644</v>
      </c>
      <c r="CL6" s="13">
        <f>CK13*' Inputs'!$H$8</f>
        <v>28465.737886647639</v>
      </c>
      <c r="CM6" s="13">
        <f>CL13*' Inputs'!$H$8</f>
        <v>32735.598569644782</v>
      </c>
      <c r="CN6" s="13">
        <f>CM13*' Inputs'!$H$8</f>
        <v>37645.938355091501</v>
      </c>
      <c r="CO6" s="13">
        <f>CN13*' Inputs'!$H$8</f>
        <v>43292.829108355225</v>
      </c>
    </row>
    <row r="7" spans="1:93" s="11" customFormat="1" x14ac:dyDescent="0.2">
      <c r="A7" s="72" t="s">
        <v>150</v>
      </c>
      <c r="B7" s="25">
        <f>' Inputs'!C7</f>
        <v>0.05</v>
      </c>
      <c r="C7" s="25">
        <f>' Inputs'!D7</f>
        <v>0.25</v>
      </c>
      <c r="D7" s="25">
        <f>' Inputs'!E7</f>
        <v>0.5</v>
      </c>
      <c r="E7" s="25">
        <f>' Inputs'!F7</f>
        <v>0.5</v>
      </c>
      <c r="F7" s="25">
        <f>' Inputs'!G7</f>
        <v>0.5</v>
      </c>
      <c r="G7" s="25">
        <f>' Inputs'!H7</f>
        <v>0.5</v>
      </c>
      <c r="H7" s="25">
        <f>' Inputs'!I7</f>
        <v>0.5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</row>
    <row r="8" spans="1:93" s="11" customFormat="1" x14ac:dyDescent="0.2">
      <c r="A8" s="72" t="s">
        <v>206</v>
      </c>
      <c r="B8" s="27">
        <f>B6*B7</f>
        <v>1.6564095350000003</v>
      </c>
      <c r="C8" s="27">
        <f t="shared" ref="C8:H8" si="62">C6*C7</f>
        <v>17.710565765576192</v>
      </c>
      <c r="D8" s="27">
        <f t="shared" si="62"/>
        <v>150.54796901492497</v>
      </c>
      <c r="E8" s="27">
        <f t="shared" si="62"/>
        <v>881.07005680883833</v>
      </c>
      <c r="F8" s="27">
        <f t="shared" si="62"/>
        <v>4713.9451643712164</v>
      </c>
      <c r="G8" s="27">
        <f t="shared" si="62"/>
        <v>25220.785612874399</v>
      </c>
      <c r="H8" s="27">
        <f t="shared" si="62"/>
        <v>134937.51088541117</v>
      </c>
      <c r="I8" s="12"/>
      <c r="J8" s="3"/>
      <c r="K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</row>
    <row r="9" spans="1:93" s="11" customFormat="1" x14ac:dyDescent="0.2">
      <c r="A9" s="72" t="s">
        <v>207</v>
      </c>
      <c r="B9" s="13">
        <f>B6-B8</f>
        <v>31.471781165000003</v>
      </c>
      <c r="C9" s="13">
        <f t="shared" ref="C9:H9" si="63">C6-C8</f>
        <v>53.131697296728575</v>
      </c>
      <c r="D9" s="13">
        <f t="shared" si="63"/>
        <v>150.54796901492497</v>
      </c>
      <c r="E9" s="13">
        <f t="shared" si="63"/>
        <v>881.07005680883833</v>
      </c>
      <c r="F9" s="13">
        <f t="shared" si="63"/>
        <v>4713.9451643712164</v>
      </c>
      <c r="G9" s="13">
        <f t="shared" si="63"/>
        <v>25220.785612874399</v>
      </c>
      <c r="H9" s="13">
        <f t="shared" si="63"/>
        <v>134937.51088541117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</row>
    <row r="10" spans="1:93" s="11" customFormat="1" x14ac:dyDescent="0.2">
      <c r="A10" s="22" t="s">
        <v>209</v>
      </c>
      <c r="B10" s="12">
        <f>' Inputs'!C6</f>
        <v>50</v>
      </c>
      <c r="C10" s="12">
        <f>' Inputs'!D6</f>
        <v>50</v>
      </c>
      <c r="D10" s="12">
        <f>' Inputs'!E6</f>
        <v>50</v>
      </c>
      <c r="E10" s="12">
        <f>' Inputs'!F6</f>
        <v>50</v>
      </c>
      <c r="F10" s="12">
        <f>' Inputs'!G6</f>
        <v>50</v>
      </c>
      <c r="G10" s="12">
        <f>' Inputs'!H6</f>
        <v>50</v>
      </c>
      <c r="H10" s="12">
        <f>' Inputs'!I6</f>
        <v>50</v>
      </c>
      <c r="I10" s="12"/>
      <c r="J10" s="3"/>
      <c r="K10"/>
      <c r="L1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3" s="11" customFormat="1" x14ac:dyDescent="0.2">
      <c r="A11" s="22" t="s">
        <v>210</v>
      </c>
      <c r="B11" s="12">
        <f>B9*B10</f>
        <v>1573.5890582500001</v>
      </c>
      <c r="C11" s="12">
        <f t="shared" ref="C11:H11" si="64">C9*C10</f>
        <v>2656.5848648364286</v>
      </c>
      <c r="D11" s="12">
        <f t="shared" si="64"/>
        <v>7527.3984507462483</v>
      </c>
      <c r="E11" s="12">
        <f t="shared" si="64"/>
        <v>44053.502840441914</v>
      </c>
      <c r="F11" s="12">
        <f t="shared" si="64"/>
        <v>235697.25821856083</v>
      </c>
      <c r="G11" s="12">
        <f t="shared" si="64"/>
        <v>1261039.2806437199</v>
      </c>
      <c r="H11" s="12">
        <f t="shared" si="64"/>
        <v>6746875.5442705583</v>
      </c>
      <c r="I11" s="12"/>
      <c r="J11" s="3"/>
      <c r="K11"/>
      <c r="L1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3" s="11" customFormat="1" x14ac:dyDescent="0.2">
      <c r="A12" s="22" t="s">
        <v>211</v>
      </c>
      <c r="B12" s="27">
        <f>B6*churn1</f>
        <v>1.6564095350000003</v>
      </c>
      <c r="C12" s="27">
        <f>C6*churn2</f>
        <v>3.5421131531152383</v>
      </c>
      <c r="D12" s="27">
        <f>D6*churn3</f>
        <v>15.054796901492498</v>
      </c>
      <c r="E12" s="27">
        <f>E6*churn4</f>
        <v>88.107005680883844</v>
      </c>
      <c r="F12" s="27">
        <f>F6*churn5</f>
        <v>471.39451643712164</v>
      </c>
      <c r="G12" s="27">
        <f>G6*churn6</f>
        <v>2522.0785612874402</v>
      </c>
      <c r="H12" s="27">
        <f>H6*churn7</f>
        <v>13493.751088541117</v>
      </c>
      <c r="I12" s="12"/>
      <c r="J12" s="3"/>
      <c r="K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</row>
    <row r="13" spans="1:93" s="11" customFormat="1" x14ac:dyDescent="0.2">
      <c r="A13" s="82" t="s">
        <v>212</v>
      </c>
      <c r="B13" s="83">
        <f>B6-B12</f>
        <v>31.471781165000003</v>
      </c>
      <c r="C13" s="83">
        <f>B13+C6-C12</f>
        <v>98.771931074189538</v>
      </c>
      <c r="D13" s="83">
        <f>AS13-D12</f>
        <v>390.01159489066214</v>
      </c>
      <c r="E13" s="83">
        <f>BE13-E12</f>
        <v>2079.0994997289476</v>
      </c>
      <c r="F13" s="83">
        <f>BQ13-F12</f>
        <v>11123.702317715144</v>
      </c>
      <c r="G13" s="83">
        <f>CC13-G12</f>
        <v>59514.589498613641</v>
      </c>
      <c r="H13" s="83">
        <f>CO13-H12</f>
        <v>318417.93874218228</v>
      </c>
      <c r="I13" s="12"/>
      <c r="J13" s="3">
        <v>0</v>
      </c>
      <c r="K13" s="3">
        <f t="shared" ref="K13:AP13" si="65">J13+K6</f>
        <v>2</v>
      </c>
      <c r="L13" s="14">
        <f t="shared" si="65"/>
        <v>7</v>
      </c>
      <c r="M13" s="14">
        <f t="shared" si="65"/>
        <v>12</v>
      </c>
      <c r="N13" s="14">
        <f t="shared" si="65"/>
        <v>17</v>
      </c>
      <c r="O13" s="14">
        <f t="shared" si="65"/>
        <v>18.7</v>
      </c>
      <c r="P13" s="14">
        <f t="shared" si="65"/>
        <v>20.57</v>
      </c>
      <c r="Q13" s="14">
        <f t="shared" si="65"/>
        <v>22.626999999999999</v>
      </c>
      <c r="R13" s="14">
        <f t="shared" si="65"/>
        <v>24.889699999999998</v>
      </c>
      <c r="S13" s="14">
        <f t="shared" si="65"/>
        <v>27.37867</v>
      </c>
      <c r="T13" s="14">
        <f t="shared" si="65"/>
        <v>30.116537000000001</v>
      </c>
      <c r="U13" s="14">
        <f t="shared" si="65"/>
        <v>33.128190700000005</v>
      </c>
      <c r="V13" s="13">
        <f t="shared" si="65"/>
        <v>36.441009770000008</v>
      </c>
      <c r="W13" s="13">
        <f t="shared" si="65"/>
        <v>40.085110747000009</v>
      </c>
      <c r="X13" s="13">
        <f t="shared" si="65"/>
        <v>44.093621821700012</v>
      </c>
      <c r="Y13" s="13">
        <f t="shared" si="65"/>
        <v>48.502984003870012</v>
      </c>
      <c r="Z13" s="13">
        <f t="shared" si="65"/>
        <v>53.353282404257016</v>
      </c>
      <c r="AA13" s="13">
        <f t="shared" si="65"/>
        <v>58.688610644682718</v>
      </c>
      <c r="AB13" s="13">
        <f t="shared" si="65"/>
        <v>64.557471709150988</v>
      </c>
      <c r="AC13" s="13">
        <f t="shared" si="65"/>
        <v>71.013218880066091</v>
      </c>
      <c r="AD13" s="13">
        <f t="shared" si="65"/>
        <v>78.1145407680727</v>
      </c>
      <c r="AE13" s="13">
        <f t="shared" si="65"/>
        <v>85.925994844879966</v>
      </c>
      <c r="AF13" s="13">
        <f t="shared" si="65"/>
        <v>94.518594329367957</v>
      </c>
      <c r="AG13" s="13">
        <f t="shared" si="65"/>
        <v>103.97045376230476</v>
      </c>
      <c r="AH13" s="13">
        <f t="shared" si="65"/>
        <v>116.44690821378133</v>
      </c>
      <c r="AI13" s="13">
        <f t="shared" si="65"/>
        <v>130.42053719943507</v>
      </c>
      <c r="AJ13" s="13">
        <f t="shared" si="65"/>
        <v>146.07100166336727</v>
      </c>
      <c r="AK13" s="13">
        <f t="shared" si="65"/>
        <v>163.59952186297133</v>
      </c>
      <c r="AL13" s="13">
        <f t="shared" si="65"/>
        <v>183.2314644865279</v>
      </c>
      <c r="AM13" s="13">
        <f t="shared" si="65"/>
        <v>205.21924022491123</v>
      </c>
      <c r="AN13" s="13">
        <f t="shared" si="65"/>
        <v>229.84554905190058</v>
      </c>
      <c r="AO13" s="13">
        <f t="shared" si="65"/>
        <v>257.42701493812865</v>
      </c>
      <c r="AP13" s="13">
        <f t="shared" si="65"/>
        <v>288.31825673070409</v>
      </c>
      <c r="AQ13" s="13">
        <f t="shared" ref="AQ13:BV13" si="66">AP13+AQ6</f>
        <v>322.91644753838858</v>
      </c>
      <c r="AR13" s="13">
        <f t="shared" si="66"/>
        <v>361.66642124299523</v>
      </c>
      <c r="AS13" s="13">
        <f t="shared" si="66"/>
        <v>405.06639179215466</v>
      </c>
      <c r="AT13" s="13">
        <f t="shared" si="66"/>
        <v>465.82635056097786</v>
      </c>
      <c r="AU13" s="13">
        <f t="shared" si="66"/>
        <v>535.70030314512451</v>
      </c>
      <c r="AV13" s="13">
        <f t="shared" si="66"/>
        <v>616.05534861689318</v>
      </c>
      <c r="AW13" s="13">
        <f t="shared" si="66"/>
        <v>708.4636509094272</v>
      </c>
      <c r="AX13" s="13">
        <f t="shared" si="66"/>
        <v>814.73319854584133</v>
      </c>
      <c r="AY13" s="13">
        <f t="shared" si="66"/>
        <v>936.94317832771753</v>
      </c>
      <c r="AZ13" s="13">
        <f t="shared" si="66"/>
        <v>1077.4846550768752</v>
      </c>
      <c r="BA13" s="13">
        <f t="shared" si="66"/>
        <v>1239.1073533384065</v>
      </c>
      <c r="BB13" s="13">
        <f t="shared" si="66"/>
        <v>1424.9734563391676</v>
      </c>
      <c r="BC13" s="13">
        <f t="shared" si="66"/>
        <v>1638.7194747900428</v>
      </c>
      <c r="BD13" s="13">
        <f t="shared" si="66"/>
        <v>1884.5273960085492</v>
      </c>
      <c r="BE13" s="13">
        <f t="shared" si="66"/>
        <v>2167.2065054098316</v>
      </c>
      <c r="BF13" s="13">
        <f t="shared" si="66"/>
        <v>2492.2874812213063</v>
      </c>
      <c r="BG13" s="13">
        <f t="shared" si="66"/>
        <v>2866.1306034045024</v>
      </c>
      <c r="BH13" s="13">
        <f t="shared" si="66"/>
        <v>3296.0501939151777</v>
      </c>
      <c r="BI13" s="13">
        <f t="shared" si="66"/>
        <v>3790.4577230024543</v>
      </c>
      <c r="BJ13" s="13">
        <f t="shared" si="66"/>
        <v>4359.0263814528225</v>
      </c>
      <c r="BK13" s="13">
        <f t="shared" si="66"/>
        <v>5012.8803386707459</v>
      </c>
      <c r="BL13" s="13">
        <f t="shared" si="66"/>
        <v>5764.8123894713581</v>
      </c>
      <c r="BM13" s="13">
        <f t="shared" si="66"/>
        <v>6629.534247892062</v>
      </c>
      <c r="BN13" s="13">
        <f t="shared" si="66"/>
        <v>7623.9643850758712</v>
      </c>
      <c r="BO13" s="13">
        <f t="shared" si="66"/>
        <v>8767.5590428372525</v>
      </c>
      <c r="BP13" s="13">
        <f t="shared" si="66"/>
        <v>10082.69289926284</v>
      </c>
      <c r="BQ13" s="13">
        <f t="shared" si="66"/>
        <v>11595.096834152266</v>
      </c>
      <c r="BR13" s="13">
        <f t="shared" si="66"/>
        <v>13334.361359275106</v>
      </c>
      <c r="BS13" s="13">
        <f t="shared" si="66"/>
        <v>15334.515563166373</v>
      </c>
      <c r="BT13" s="13">
        <f t="shared" si="66"/>
        <v>17634.692897641329</v>
      </c>
      <c r="BU13" s="13">
        <f t="shared" si="66"/>
        <v>20279.89683228753</v>
      </c>
      <c r="BV13" s="13">
        <f t="shared" si="66"/>
        <v>23321.88135713066</v>
      </c>
      <c r="BW13" s="13">
        <f t="shared" ref="BW13:CO13" si="67">BV13+BW6</f>
        <v>26820.163560700261</v>
      </c>
      <c r="BX13" s="13">
        <f t="shared" si="67"/>
        <v>30843.1880948053</v>
      </c>
      <c r="BY13" s="13">
        <f t="shared" si="67"/>
        <v>35469.666309026099</v>
      </c>
      <c r="BZ13" s="13">
        <f t="shared" si="67"/>
        <v>40790.116255380017</v>
      </c>
      <c r="CA13" s="13">
        <f t="shared" si="67"/>
        <v>46908.633693687021</v>
      </c>
      <c r="CB13" s="13">
        <f t="shared" si="67"/>
        <v>53944.928747740072</v>
      </c>
      <c r="CC13" s="13">
        <f t="shared" si="67"/>
        <v>62036.66805990108</v>
      </c>
      <c r="CD13" s="13">
        <f t="shared" si="67"/>
        <v>71342.168268886249</v>
      </c>
      <c r="CE13" s="13">
        <f t="shared" si="67"/>
        <v>82043.493509219188</v>
      </c>
      <c r="CF13" s="13">
        <f t="shared" si="67"/>
        <v>94350.017535602063</v>
      </c>
      <c r="CG13" s="13">
        <f t="shared" si="67"/>
        <v>108502.52016594238</v>
      </c>
      <c r="CH13" s="13">
        <f t="shared" si="67"/>
        <v>124777.89819083373</v>
      </c>
      <c r="CI13" s="13">
        <f t="shared" si="67"/>
        <v>143494.5829194588</v>
      </c>
      <c r="CJ13" s="13">
        <f t="shared" si="67"/>
        <v>165018.77035737762</v>
      </c>
      <c r="CK13" s="13">
        <f t="shared" si="67"/>
        <v>189771.58591098426</v>
      </c>
      <c r="CL13" s="13">
        <f t="shared" si="67"/>
        <v>218237.32379763189</v>
      </c>
      <c r="CM13" s="13">
        <f t="shared" si="67"/>
        <v>250972.92236727668</v>
      </c>
      <c r="CN13" s="13">
        <f t="shared" si="67"/>
        <v>288618.86072236818</v>
      </c>
      <c r="CO13" s="13">
        <f t="shared" si="67"/>
        <v>331911.68983072339</v>
      </c>
    </row>
    <row r="14" spans="1:93" s="11" customFormat="1" x14ac:dyDescent="0.2">
      <c r="B14" s="27"/>
      <c r="C14" s="27"/>
      <c r="D14" s="27"/>
      <c r="E14" s="27"/>
      <c r="F14" s="27"/>
      <c r="G14" s="27"/>
      <c r="H14" s="27"/>
      <c r="I14" s="12"/>
      <c r="J14" s="3"/>
      <c r="K14"/>
      <c r="L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</row>
    <row r="15" spans="1:93" s="11" customFormat="1" x14ac:dyDescent="0.2">
      <c r="A15" s="94" t="s">
        <v>208</v>
      </c>
      <c r="B15" s="14"/>
      <c r="C15" s="14"/>
      <c r="D15" s="14"/>
      <c r="E15" s="14"/>
      <c r="F15" s="14"/>
      <c r="G15" s="14"/>
      <c r="H15" s="14"/>
      <c r="I15" s="12"/>
      <c r="J15" s="3"/>
      <c r="K15"/>
      <c r="L1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</row>
    <row r="16" spans="1:93" s="11" customFormat="1" x14ac:dyDescent="0.2">
      <c r="A16" s="11" t="s">
        <v>213</v>
      </c>
      <c r="B16" s="27">
        <f>SUM(J16:U16)</f>
        <v>20000</v>
      </c>
      <c r="C16" s="27">
        <f>SUM(V16:AG16)</f>
        <v>57317.820000000007</v>
      </c>
      <c r="D16" s="27">
        <f>SUM(AH16:AS16)</f>
        <v>1045831.3400000002</v>
      </c>
      <c r="E16" s="27">
        <f>SUM(AT16:BE16)</f>
        <v>4273022.3399999989</v>
      </c>
      <c r="F16" s="27">
        <f>SUM(BF16:BQ16)</f>
        <v>7906753.0099999988</v>
      </c>
      <c r="G16" s="27">
        <f>SUM(BR16:CC16)</f>
        <v>10511352.989999996</v>
      </c>
      <c r="H16" s="27">
        <f>SUM(CD16:CO16)</f>
        <v>13124193.199999994</v>
      </c>
      <c r="I16" s="12"/>
      <c r="J16" s="27">
        <v>500</v>
      </c>
      <c r="K16" s="27">
        <v>500</v>
      </c>
      <c r="L16" s="27">
        <v>500</v>
      </c>
      <c r="M16" s="27">
        <v>500</v>
      </c>
      <c r="N16" s="27">
        <v>500</v>
      </c>
      <c r="O16" s="27">
        <v>800</v>
      </c>
      <c r="P16" s="27">
        <v>1200</v>
      </c>
      <c r="Q16" s="27">
        <v>2500</v>
      </c>
      <c r="R16" s="27">
        <v>3000</v>
      </c>
      <c r="S16" s="27">
        <v>3000</v>
      </c>
      <c r="T16" s="27">
        <v>3000</v>
      </c>
      <c r="U16" s="27">
        <v>4000</v>
      </c>
      <c r="V16" s="13">
        <f t="shared" ref="V16:AG16" si="68">users_y2/12</f>
        <v>4776.4850000000006</v>
      </c>
      <c r="W16" s="13">
        <f t="shared" si="68"/>
        <v>4776.4850000000006</v>
      </c>
      <c r="X16" s="13">
        <f t="shared" si="68"/>
        <v>4776.4850000000006</v>
      </c>
      <c r="Y16" s="13">
        <f t="shared" si="68"/>
        <v>4776.4850000000006</v>
      </c>
      <c r="Z16" s="13">
        <f t="shared" si="68"/>
        <v>4776.4850000000006</v>
      </c>
      <c r="AA16" s="13">
        <f t="shared" si="68"/>
        <v>4776.4850000000006</v>
      </c>
      <c r="AB16" s="13">
        <f t="shared" si="68"/>
        <v>4776.4850000000006</v>
      </c>
      <c r="AC16" s="13">
        <f t="shared" si="68"/>
        <v>4776.4850000000006</v>
      </c>
      <c r="AD16" s="13">
        <f t="shared" si="68"/>
        <v>4776.4850000000006</v>
      </c>
      <c r="AE16" s="13">
        <f t="shared" si="68"/>
        <v>4776.4850000000006</v>
      </c>
      <c r="AF16" s="13">
        <f t="shared" si="68"/>
        <v>4776.4850000000006</v>
      </c>
      <c r="AG16" s="13">
        <f t="shared" si="68"/>
        <v>4776.4850000000006</v>
      </c>
      <c r="AH16" s="13">
        <f t="shared" ref="AH16:AS16" si="69">users_y3/12</f>
        <v>87152.611666666664</v>
      </c>
      <c r="AI16" s="13">
        <f t="shared" si="69"/>
        <v>87152.611666666664</v>
      </c>
      <c r="AJ16" s="13">
        <f t="shared" si="69"/>
        <v>87152.611666666664</v>
      </c>
      <c r="AK16" s="13">
        <f t="shared" si="69"/>
        <v>87152.611666666664</v>
      </c>
      <c r="AL16" s="13">
        <f t="shared" si="69"/>
        <v>87152.611666666664</v>
      </c>
      <c r="AM16" s="13">
        <f t="shared" si="69"/>
        <v>87152.611666666664</v>
      </c>
      <c r="AN16" s="13">
        <f t="shared" si="69"/>
        <v>87152.611666666664</v>
      </c>
      <c r="AO16" s="13">
        <f t="shared" si="69"/>
        <v>87152.611666666664</v>
      </c>
      <c r="AP16" s="13">
        <f t="shared" si="69"/>
        <v>87152.611666666664</v>
      </c>
      <c r="AQ16" s="13">
        <f t="shared" si="69"/>
        <v>87152.611666666664</v>
      </c>
      <c r="AR16" s="13">
        <f t="shared" si="69"/>
        <v>87152.611666666664</v>
      </c>
      <c r="AS16" s="13">
        <f t="shared" si="69"/>
        <v>87152.611666666664</v>
      </c>
      <c r="AT16" s="13">
        <f t="shared" ref="AT16:BE16" si="70">users_y4/12</f>
        <v>356085.19500000001</v>
      </c>
      <c r="AU16" s="13">
        <f t="shared" si="70"/>
        <v>356085.19500000001</v>
      </c>
      <c r="AV16" s="13">
        <f t="shared" si="70"/>
        <v>356085.19500000001</v>
      </c>
      <c r="AW16" s="13">
        <f t="shared" si="70"/>
        <v>356085.19500000001</v>
      </c>
      <c r="AX16" s="13">
        <f t="shared" si="70"/>
        <v>356085.19500000001</v>
      </c>
      <c r="AY16" s="13">
        <f t="shared" si="70"/>
        <v>356085.19500000001</v>
      </c>
      <c r="AZ16" s="13">
        <f t="shared" si="70"/>
        <v>356085.19500000001</v>
      </c>
      <c r="BA16" s="13">
        <f t="shared" si="70"/>
        <v>356085.19500000001</v>
      </c>
      <c r="BB16" s="13">
        <f t="shared" si="70"/>
        <v>356085.19500000001</v>
      </c>
      <c r="BC16" s="13">
        <f t="shared" si="70"/>
        <v>356085.19500000001</v>
      </c>
      <c r="BD16" s="13">
        <f t="shared" si="70"/>
        <v>356085.19500000001</v>
      </c>
      <c r="BE16" s="13">
        <f t="shared" si="70"/>
        <v>356085.19500000001</v>
      </c>
      <c r="BF16" s="13">
        <f t="shared" ref="BF16:BQ16" si="71">users_y5/12</f>
        <v>658896.08416666673</v>
      </c>
      <c r="BG16" s="13">
        <f t="shared" si="71"/>
        <v>658896.08416666673</v>
      </c>
      <c r="BH16" s="13">
        <f t="shared" si="71"/>
        <v>658896.08416666673</v>
      </c>
      <c r="BI16" s="13">
        <f t="shared" si="71"/>
        <v>658896.08416666673</v>
      </c>
      <c r="BJ16" s="13">
        <f t="shared" si="71"/>
        <v>658896.08416666673</v>
      </c>
      <c r="BK16" s="13">
        <f t="shared" si="71"/>
        <v>658896.08416666673</v>
      </c>
      <c r="BL16" s="13">
        <f t="shared" si="71"/>
        <v>658896.08416666673</v>
      </c>
      <c r="BM16" s="13">
        <f t="shared" si="71"/>
        <v>658896.08416666673</v>
      </c>
      <c r="BN16" s="13">
        <f t="shared" si="71"/>
        <v>658896.08416666673</v>
      </c>
      <c r="BO16" s="13">
        <f t="shared" si="71"/>
        <v>658896.08416666673</v>
      </c>
      <c r="BP16" s="13">
        <f t="shared" si="71"/>
        <v>658896.08416666673</v>
      </c>
      <c r="BQ16" s="13">
        <f t="shared" si="71"/>
        <v>658896.08416666673</v>
      </c>
      <c r="BR16" s="13">
        <f t="shared" ref="BR16:CC16" si="72">users_y6/12</f>
        <v>875946.0824999999</v>
      </c>
      <c r="BS16" s="13">
        <f t="shared" si="72"/>
        <v>875946.0824999999</v>
      </c>
      <c r="BT16" s="13">
        <f t="shared" si="72"/>
        <v>875946.0824999999</v>
      </c>
      <c r="BU16" s="13">
        <f t="shared" si="72"/>
        <v>875946.0824999999</v>
      </c>
      <c r="BV16" s="13">
        <f t="shared" si="72"/>
        <v>875946.0824999999</v>
      </c>
      <c r="BW16" s="13">
        <f t="shared" si="72"/>
        <v>875946.0824999999</v>
      </c>
      <c r="BX16" s="13">
        <f t="shared" si="72"/>
        <v>875946.0824999999</v>
      </c>
      <c r="BY16" s="13">
        <f t="shared" si="72"/>
        <v>875946.0824999999</v>
      </c>
      <c r="BZ16" s="13">
        <f t="shared" si="72"/>
        <v>875946.0824999999</v>
      </c>
      <c r="CA16" s="13">
        <f t="shared" si="72"/>
        <v>875946.0824999999</v>
      </c>
      <c r="CB16" s="13">
        <f t="shared" si="72"/>
        <v>875946.0824999999</v>
      </c>
      <c r="CC16" s="13">
        <f t="shared" si="72"/>
        <v>875946.0824999999</v>
      </c>
      <c r="CD16" s="13">
        <f t="shared" ref="CD16:CO16" si="73">users_y7/12</f>
        <v>1093682.7666666664</v>
      </c>
      <c r="CE16" s="13">
        <f t="shared" si="73"/>
        <v>1093682.7666666664</v>
      </c>
      <c r="CF16" s="13">
        <f t="shared" si="73"/>
        <v>1093682.7666666664</v>
      </c>
      <c r="CG16" s="13">
        <f t="shared" si="73"/>
        <v>1093682.7666666664</v>
      </c>
      <c r="CH16" s="13">
        <f t="shared" si="73"/>
        <v>1093682.7666666664</v>
      </c>
      <c r="CI16" s="13">
        <f t="shared" si="73"/>
        <v>1093682.7666666664</v>
      </c>
      <c r="CJ16" s="13">
        <f t="shared" si="73"/>
        <v>1093682.7666666664</v>
      </c>
      <c r="CK16" s="13">
        <f t="shared" si="73"/>
        <v>1093682.7666666664</v>
      </c>
      <c r="CL16" s="13">
        <f t="shared" si="73"/>
        <v>1093682.7666666664</v>
      </c>
      <c r="CM16" s="13">
        <f t="shared" si="73"/>
        <v>1093682.7666666664</v>
      </c>
      <c r="CN16" s="13">
        <f t="shared" si="73"/>
        <v>1093682.7666666664</v>
      </c>
      <c r="CO16" s="13">
        <f t="shared" si="73"/>
        <v>1093682.7666666664</v>
      </c>
    </row>
    <row r="17" spans="1:93" s="11" customFormat="1" x14ac:dyDescent="0.2">
      <c r="A17" s="73" t="s">
        <v>150</v>
      </c>
      <c r="B17" s="25">
        <v>0.5</v>
      </c>
      <c r="C17" s="25">
        <f>' Inputs'!D14</f>
        <v>0.3</v>
      </c>
      <c r="D17" s="25">
        <f>' Inputs'!E14</f>
        <v>0.3</v>
      </c>
      <c r="E17" s="25">
        <f>' Inputs'!F14</f>
        <v>0.4</v>
      </c>
      <c r="F17" s="25">
        <f>' Inputs'!G14</f>
        <v>0.5</v>
      </c>
      <c r="G17" s="25">
        <f>' Inputs'!H14</f>
        <v>0.5</v>
      </c>
      <c r="H17" s="25">
        <f>' Inputs'!I14</f>
        <v>0.5</v>
      </c>
      <c r="I17" s="12"/>
      <c r="J17" s="3"/>
      <c r="K17"/>
      <c r="L17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</row>
    <row r="18" spans="1:93" s="11" customFormat="1" x14ac:dyDescent="0.2">
      <c r="A18" s="73" t="s">
        <v>214</v>
      </c>
      <c r="B18" s="27">
        <f>B16*B17</f>
        <v>10000</v>
      </c>
      <c r="C18" s="27">
        <f>C16*C17</f>
        <v>17195.346000000001</v>
      </c>
      <c r="D18" s="27">
        <f t="shared" ref="D18:H18" si="74">D16*D17</f>
        <v>313749.40200000006</v>
      </c>
      <c r="E18" s="27">
        <f t="shared" si="74"/>
        <v>1709208.9359999998</v>
      </c>
      <c r="F18" s="27">
        <f t="shared" si="74"/>
        <v>3953376.5049999994</v>
      </c>
      <c r="G18" s="27">
        <f t="shared" si="74"/>
        <v>5255676.4949999982</v>
      </c>
      <c r="H18" s="27">
        <f t="shared" si="74"/>
        <v>6562096.5999999968</v>
      </c>
      <c r="I18" s="12"/>
      <c r="J18" s="3"/>
      <c r="K18"/>
      <c r="L1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</row>
    <row r="19" spans="1:93" s="11" customFormat="1" x14ac:dyDescent="0.2">
      <c r="A19" s="73" t="s">
        <v>215</v>
      </c>
      <c r="B19" s="27">
        <f>B16-B18</f>
        <v>10000</v>
      </c>
      <c r="C19" s="27">
        <f>C16-C18</f>
        <v>40122.474000000002</v>
      </c>
      <c r="D19" s="27">
        <f t="shared" ref="D19:H19" si="75">D16-D18</f>
        <v>732081.93800000008</v>
      </c>
      <c r="E19" s="27">
        <f t="shared" si="75"/>
        <v>2563813.4039999992</v>
      </c>
      <c r="F19" s="27">
        <f t="shared" si="75"/>
        <v>3953376.5049999994</v>
      </c>
      <c r="G19" s="27">
        <f t="shared" si="75"/>
        <v>5255676.4949999982</v>
      </c>
      <c r="H19" s="27">
        <f t="shared" si="75"/>
        <v>6562096.5999999968</v>
      </c>
      <c r="I19" s="12"/>
      <c r="J19" s="3"/>
      <c r="K19"/>
      <c r="L1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</row>
    <row r="20" spans="1:93" s="11" customFormat="1" x14ac:dyDescent="0.2">
      <c r="A20" s="11" t="s">
        <v>216</v>
      </c>
      <c r="B20" s="12">
        <v>5</v>
      </c>
      <c r="C20" s="12">
        <v>5</v>
      </c>
      <c r="D20" s="12">
        <v>5</v>
      </c>
      <c r="E20" s="12">
        <v>5</v>
      </c>
      <c r="F20" s="12">
        <v>5</v>
      </c>
      <c r="G20" s="12">
        <v>5</v>
      </c>
      <c r="H20" s="12">
        <v>5</v>
      </c>
      <c r="I20" s="12"/>
      <c r="J20" s="3"/>
      <c r="K20"/>
      <c r="L2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</row>
    <row r="21" spans="1:93" s="11" customFormat="1" x14ac:dyDescent="0.2">
      <c r="A21" s="11" t="s">
        <v>217</v>
      </c>
      <c r="B21" s="12">
        <f>B19*B20</f>
        <v>50000</v>
      </c>
      <c r="C21" s="12">
        <f>C19*C20</f>
        <v>200612.37</v>
      </c>
      <c r="D21" s="12">
        <f t="shared" ref="D21:H21" si="76">D19*D20</f>
        <v>3660409.6900000004</v>
      </c>
      <c r="E21" s="12">
        <f t="shared" si="76"/>
        <v>12819067.019999996</v>
      </c>
      <c r="F21" s="12">
        <f t="shared" si="76"/>
        <v>19766882.524999999</v>
      </c>
      <c r="G21" s="12">
        <f t="shared" si="76"/>
        <v>26278382.47499999</v>
      </c>
      <c r="H21" s="12">
        <f t="shared" si="76"/>
        <v>32810482.999999985</v>
      </c>
      <c r="I21" s="12"/>
      <c r="J21" s="3"/>
      <c r="K21"/>
      <c r="L2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</row>
    <row r="22" spans="1:93" s="11" customFormat="1" x14ac:dyDescent="0.2">
      <c r="A22" s="11" t="s">
        <v>218</v>
      </c>
      <c r="B22" s="27">
        <f>B16*' Inputs'!C15</f>
        <v>1000</v>
      </c>
      <c r="C22" s="27">
        <f>C16*' Inputs'!D15</f>
        <v>2865.8910000000005</v>
      </c>
      <c r="D22" s="27">
        <f>D16*' Inputs'!E15</f>
        <v>52291.56700000001</v>
      </c>
      <c r="E22" s="27">
        <f>E16*' Inputs'!F15</f>
        <v>213651.11699999997</v>
      </c>
      <c r="F22" s="27">
        <f>F16*' Inputs'!G15</f>
        <v>395337.65049999999</v>
      </c>
      <c r="G22" s="27">
        <f>G16*' Inputs'!H15</f>
        <v>525567.64949999982</v>
      </c>
      <c r="H22" s="27">
        <f>H16*' Inputs'!I15</f>
        <v>656209.65999999968</v>
      </c>
      <c r="I22" s="12"/>
      <c r="J22" s="3"/>
      <c r="K22"/>
      <c r="L2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</row>
    <row r="23" spans="1:93" s="11" customFormat="1" x14ac:dyDescent="0.2">
      <c r="A23" s="82" t="s">
        <v>219</v>
      </c>
      <c r="B23" s="83">
        <f>B16-B22</f>
        <v>19000</v>
      </c>
      <c r="C23" s="83">
        <f>B23+C16-C22</f>
        <v>73451.929000000004</v>
      </c>
      <c r="D23" s="83">
        <f t="shared" ref="D23:G23" si="77">C23+D16-D22</f>
        <v>1066991.7020000003</v>
      </c>
      <c r="E23" s="83">
        <f t="shared" si="77"/>
        <v>5126362.9249999998</v>
      </c>
      <c r="F23" s="83">
        <f t="shared" si="77"/>
        <v>12637778.284499999</v>
      </c>
      <c r="G23" s="83">
        <f t="shared" si="77"/>
        <v>22623563.624999996</v>
      </c>
      <c r="H23" s="83">
        <f>G23+H16-H22</f>
        <v>35091547.164999992</v>
      </c>
      <c r="I23" s="12"/>
      <c r="J23" s="3"/>
      <c r="K23" s="84"/>
      <c r="L2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</row>
    <row r="24" spans="1:93" s="11" customFormat="1" x14ac:dyDescent="0.2">
      <c r="B24" s="14"/>
      <c r="C24" s="14"/>
      <c r="D24" s="14"/>
      <c r="E24" s="14"/>
      <c r="F24" s="14"/>
      <c r="G24" s="14"/>
      <c r="H24" s="14"/>
      <c r="I24" s="12"/>
      <c r="J24" s="3"/>
      <c r="K24"/>
      <c r="L2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</row>
    <row r="25" spans="1:93" s="70" customFormat="1" x14ac:dyDescent="0.2">
      <c r="A25" s="71" t="s">
        <v>224</v>
      </c>
      <c r="B25" s="68"/>
      <c r="C25" s="68"/>
      <c r="D25" s="68"/>
      <c r="E25" s="68"/>
      <c r="F25" s="68"/>
      <c r="G25" s="68"/>
      <c r="H25" s="68"/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</row>
    <row r="26" spans="1:93" x14ac:dyDescent="0.2">
      <c r="A26" t="s">
        <v>313</v>
      </c>
      <c r="B26" s="5" t="e">
        <f>SUM(J26:U26)</f>
        <v>#REF!</v>
      </c>
      <c r="C26" s="5" t="e">
        <f t="shared" ref="C26" si="78">SUM(V26:AG26)</f>
        <v>#REF!</v>
      </c>
      <c r="D26" s="5" t="e">
        <f>SUM(AH26:AS26)</f>
        <v>#REF!</v>
      </c>
      <c r="E26" s="5" t="e">
        <f>SUM(AT26:BE26)</f>
        <v>#REF!</v>
      </c>
      <c r="F26" s="5" t="e">
        <f>SUM(BF26:BQ26)</f>
        <v>#REF!</v>
      </c>
      <c r="G26" s="12" t="e">
        <f>SUM(BR26:CC26)</f>
        <v>#REF!</v>
      </c>
      <c r="H26" s="12" t="e">
        <f>SUM(CD26:CO26)</f>
        <v>#REF!</v>
      </c>
      <c r="J26" s="12" t="e">
        <f>#REF!*' Inputs'!$C$33*' Inputs'!$C$34</f>
        <v>#REF!</v>
      </c>
      <c r="K26" s="12" t="e">
        <f>#REF!*' Inputs'!$C$33*' Inputs'!$C$34</f>
        <v>#REF!</v>
      </c>
      <c r="L26" s="12" t="e">
        <f>#REF!*' Inputs'!$C$33*' Inputs'!$C$34</f>
        <v>#REF!</v>
      </c>
      <c r="M26" s="12" t="e">
        <f>#REF!*' Inputs'!$C$33*' Inputs'!$C$34</f>
        <v>#REF!</v>
      </c>
      <c r="N26" s="12" t="e">
        <f>#REF!*' Inputs'!$C$33*' Inputs'!$C$34</f>
        <v>#REF!</v>
      </c>
      <c r="O26" s="12" t="e">
        <f>#REF!*' Inputs'!$C$33*' Inputs'!$C$34</f>
        <v>#REF!</v>
      </c>
      <c r="P26" s="12" t="e">
        <f>#REF!*' Inputs'!$C$33*' Inputs'!$C$34</f>
        <v>#REF!</v>
      </c>
      <c r="Q26" s="12" t="e">
        <f>#REF!*' Inputs'!$C$33*' Inputs'!$C$34</f>
        <v>#REF!</v>
      </c>
      <c r="R26" s="12" t="e">
        <f>#REF!*' Inputs'!$C$33*' Inputs'!$C$34</f>
        <v>#REF!</v>
      </c>
      <c r="S26" s="12" t="e">
        <f>#REF!*' Inputs'!$C$33*' Inputs'!$C$34</f>
        <v>#REF!</v>
      </c>
      <c r="T26" s="12" t="e">
        <f>#REF!*' Inputs'!$C$33*' Inputs'!$C$34</f>
        <v>#REF!</v>
      </c>
      <c r="U26" s="12" t="e">
        <f>#REF!*' Inputs'!$C$33*' Inputs'!$C$34</f>
        <v>#REF!</v>
      </c>
      <c r="V26" s="12" t="e">
        <f>#REF!*' Inputs'!$D$33*' Inputs'!$D$34</f>
        <v>#REF!</v>
      </c>
      <c r="W26" s="12" t="e">
        <f>#REF!*' Inputs'!$D$33*' Inputs'!$D$34</f>
        <v>#REF!</v>
      </c>
      <c r="X26" s="12" t="e">
        <f>#REF!*' Inputs'!$D$33*' Inputs'!$D$34</f>
        <v>#REF!</v>
      </c>
      <c r="Y26" s="12" t="e">
        <f>#REF!*' Inputs'!$D$33*' Inputs'!$D$34</f>
        <v>#REF!</v>
      </c>
      <c r="Z26" s="12" t="e">
        <f>#REF!*' Inputs'!$D$33*' Inputs'!$D$34</f>
        <v>#REF!</v>
      </c>
      <c r="AA26" s="12" t="e">
        <f>#REF!*' Inputs'!$D$33*' Inputs'!$D$34</f>
        <v>#REF!</v>
      </c>
      <c r="AB26" s="12" t="e">
        <f>#REF!*' Inputs'!$D$33*' Inputs'!$D$34</f>
        <v>#REF!</v>
      </c>
      <c r="AC26" s="12" t="e">
        <f>#REF!*' Inputs'!$D$33*' Inputs'!$D$34</f>
        <v>#REF!</v>
      </c>
      <c r="AD26" s="12" t="e">
        <f>#REF!*' Inputs'!$D$33*' Inputs'!$D$34</f>
        <v>#REF!</v>
      </c>
      <c r="AE26" s="12" t="e">
        <f>#REF!*' Inputs'!$D$33*' Inputs'!$D$34</f>
        <v>#REF!</v>
      </c>
      <c r="AF26" s="12" t="e">
        <f>#REF!*' Inputs'!$D$33*' Inputs'!$D$34</f>
        <v>#REF!</v>
      </c>
      <c r="AG26" s="12" t="e">
        <f>#REF!*' Inputs'!$D$33*' Inputs'!$D$34</f>
        <v>#REF!</v>
      </c>
      <c r="AH26" s="12" t="e">
        <f>#REF!*' Inputs'!$E$33*' Inputs'!$E$34</f>
        <v>#REF!</v>
      </c>
      <c r="AI26" s="12" t="e">
        <f>#REF!*' Inputs'!$E$33*' Inputs'!$E$34</f>
        <v>#REF!</v>
      </c>
      <c r="AJ26" s="12" t="e">
        <f>#REF!*' Inputs'!$E$33*' Inputs'!$E$34</f>
        <v>#REF!</v>
      </c>
      <c r="AK26" s="12" t="e">
        <f>#REF!*' Inputs'!$E$33*' Inputs'!$E$34</f>
        <v>#REF!</v>
      </c>
      <c r="AL26" s="12" t="e">
        <f>#REF!*' Inputs'!$E$33*' Inputs'!$E$34</f>
        <v>#REF!</v>
      </c>
      <c r="AM26" s="12" t="e">
        <f>#REF!*' Inputs'!$E$33*' Inputs'!$E$34</f>
        <v>#REF!</v>
      </c>
      <c r="AN26" s="12" t="e">
        <f>#REF!*' Inputs'!$E$33*' Inputs'!$E$34</f>
        <v>#REF!</v>
      </c>
      <c r="AO26" s="12" t="e">
        <f>#REF!*' Inputs'!$E$33*' Inputs'!$E$34</f>
        <v>#REF!</v>
      </c>
      <c r="AP26" s="12" t="e">
        <f>#REF!*' Inputs'!$E$33*' Inputs'!$E$34</f>
        <v>#REF!</v>
      </c>
      <c r="AQ26" s="12" t="e">
        <f>#REF!*' Inputs'!$E$33*' Inputs'!$E$34</f>
        <v>#REF!</v>
      </c>
      <c r="AR26" s="12" t="e">
        <f>#REF!*' Inputs'!$E$33*' Inputs'!$E$34</f>
        <v>#REF!</v>
      </c>
      <c r="AS26" s="12" t="e">
        <f>#REF!*' Inputs'!$E$33*' Inputs'!$E$34</f>
        <v>#REF!</v>
      </c>
      <c r="AT26" s="12" t="e">
        <f>#REF!*' Inputs'!$F$33*' Inputs'!$F$34</f>
        <v>#REF!</v>
      </c>
      <c r="AU26" s="12" t="e">
        <f>#REF!*' Inputs'!$F$33*' Inputs'!$F$34</f>
        <v>#REF!</v>
      </c>
      <c r="AV26" s="12" t="e">
        <f>#REF!*' Inputs'!$F$33*' Inputs'!$F$34</f>
        <v>#REF!</v>
      </c>
      <c r="AW26" s="12" t="e">
        <f>#REF!*' Inputs'!$F$33*' Inputs'!$F$34</f>
        <v>#REF!</v>
      </c>
      <c r="AX26" s="12" t="e">
        <f>#REF!*' Inputs'!$F$33*' Inputs'!$F$34</f>
        <v>#REF!</v>
      </c>
      <c r="AY26" s="12" t="e">
        <f>#REF!*' Inputs'!$F$33*' Inputs'!$F$34</f>
        <v>#REF!</v>
      </c>
      <c r="AZ26" s="12" t="e">
        <f>#REF!*' Inputs'!$F$33*' Inputs'!$F$34</f>
        <v>#REF!</v>
      </c>
      <c r="BA26" s="12" t="e">
        <f>#REF!*' Inputs'!$F$33*' Inputs'!$F$34</f>
        <v>#REF!</v>
      </c>
      <c r="BB26" s="12" t="e">
        <f>#REF!*' Inputs'!$F$33*' Inputs'!$F$34</f>
        <v>#REF!</v>
      </c>
      <c r="BC26" s="12" t="e">
        <f>#REF!*' Inputs'!$F$33*' Inputs'!$F$34</f>
        <v>#REF!</v>
      </c>
      <c r="BD26" s="12" t="e">
        <f>#REF!*' Inputs'!$F$33*' Inputs'!$F$34</f>
        <v>#REF!</v>
      </c>
      <c r="BE26" s="12" t="e">
        <f>#REF!*' Inputs'!$F$33*' Inputs'!$F$34</f>
        <v>#REF!</v>
      </c>
      <c r="BF26" s="12" t="e">
        <f>#REF!*' Inputs'!$G$33*' Inputs'!$G$34</f>
        <v>#REF!</v>
      </c>
      <c r="BG26" s="12" t="e">
        <f>#REF!*' Inputs'!$G$33*' Inputs'!$G$34</f>
        <v>#REF!</v>
      </c>
      <c r="BH26" s="12" t="e">
        <f>#REF!*' Inputs'!$G$33*' Inputs'!$G$34</f>
        <v>#REF!</v>
      </c>
      <c r="BI26" s="12" t="e">
        <f>#REF!*' Inputs'!$G$33*' Inputs'!$G$34</f>
        <v>#REF!</v>
      </c>
      <c r="BJ26" s="12" t="e">
        <f>#REF!*' Inputs'!$G$33*' Inputs'!$G$34</f>
        <v>#REF!</v>
      </c>
      <c r="BK26" s="12" t="e">
        <f>#REF!*' Inputs'!$G$33*' Inputs'!$G$34</f>
        <v>#REF!</v>
      </c>
      <c r="BL26" s="12" t="e">
        <f>#REF!*' Inputs'!$G$33*' Inputs'!$G$34</f>
        <v>#REF!</v>
      </c>
      <c r="BM26" s="12" t="e">
        <f>#REF!*' Inputs'!$G$33*' Inputs'!$G$34</f>
        <v>#REF!</v>
      </c>
      <c r="BN26" s="12" t="e">
        <f>#REF!*' Inputs'!$G$33*' Inputs'!$G$34</f>
        <v>#REF!</v>
      </c>
      <c r="BO26" s="12" t="e">
        <f>#REF!*' Inputs'!$G$33*' Inputs'!$G$34</f>
        <v>#REF!</v>
      </c>
      <c r="BP26" s="12" t="e">
        <f>#REF!*' Inputs'!$G$33*' Inputs'!$G$34</f>
        <v>#REF!</v>
      </c>
      <c r="BQ26" s="12" t="e">
        <f>#REF!*' Inputs'!$G$33*' Inputs'!$G$34</f>
        <v>#REF!</v>
      </c>
      <c r="BR26" s="12" t="e">
        <f>#REF!*' Inputs'!$H$33*' Inputs'!$H$34</f>
        <v>#REF!</v>
      </c>
      <c r="BS26" s="12" t="e">
        <f>#REF!*' Inputs'!$H$33*' Inputs'!$H$34</f>
        <v>#REF!</v>
      </c>
      <c r="BT26" s="12" t="e">
        <f>#REF!*' Inputs'!$H$33*' Inputs'!$H$34</f>
        <v>#REF!</v>
      </c>
      <c r="BU26" s="12" t="e">
        <f>#REF!*' Inputs'!$H$33*' Inputs'!$H$34</f>
        <v>#REF!</v>
      </c>
      <c r="BV26" s="12" t="e">
        <f>#REF!*' Inputs'!$H$33*' Inputs'!$H$34</f>
        <v>#REF!</v>
      </c>
      <c r="BW26" s="12" t="e">
        <f>#REF!*' Inputs'!$H$33*' Inputs'!$H$34</f>
        <v>#REF!</v>
      </c>
      <c r="BX26" s="12" t="e">
        <f>#REF!*' Inputs'!$H$33*' Inputs'!$H$34</f>
        <v>#REF!</v>
      </c>
      <c r="BY26" s="12" t="e">
        <f>#REF!*' Inputs'!$H$33*' Inputs'!$H$34</f>
        <v>#REF!</v>
      </c>
      <c r="BZ26" s="12" t="e">
        <f>#REF!*' Inputs'!$H$33*' Inputs'!$H$34</f>
        <v>#REF!</v>
      </c>
      <c r="CA26" s="12" t="e">
        <f>#REF!*' Inputs'!$H$33*' Inputs'!$H$34</f>
        <v>#REF!</v>
      </c>
      <c r="CB26" s="12" t="e">
        <f>#REF!*' Inputs'!$H$33*' Inputs'!$H$34</f>
        <v>#REF!</v>
      </c>
      <c r="CC26" s="12" t="e">
        <f>#REF!*' Inputs'!$H$33*' Inputs'!$H$34</f>
        <v>#REF!</v>
      </c>
      <c r="CD26" s="12" t="e">
        <f>#REF!*' Inputs'!$H$33*' Inputs'!$H$34</f>
        <v>#REF!</v>
      </c>
      <c r="CE26" s="12" t="e">
        <f>#REF!*' Inputs'!$H$33*' Inputs'!$H$34</f>
        <v>#REF!</v>
      </c>
      <c r="CF26" s="12" t="e">
        <f>#REF!*' Inputs'!$H$33*' Inputs'!$H$34</f>
        <v>#REF!</v>
      </c>
      <c r="CG26" s="12" t="e">
        <f>#REF!*' Inputs'!$H$33*' Inputs'!$H$34</f>
        <v>#REF!</v>
      </c>
      <c r="CH26" s="12" t="e">
        <f>#REF!*' Inputs'!$H$33*' Inputs'!$H$34</f>
        <v>#REF!</v>
      </c>
      <c r="CI26" s="12" t="e">
        <f>#REF!*' Inputs'!$H$33*' Inputs'!$H$34</f>
        <v>#REF!</v>
      </c>
      <c r="CJ26" s="12" t="e">
        <f>#REF!*' Inputs'!$H$33*' Inputs'!$H$34</f>
        <v>#REF!</v>
      </c>
      <c r="CK26" s="12" t="e">
        <f>#REF!*' Inputs'!$H$33*' Inputs'!$H$34</f>
        <v>#REF!</v>
      </c>
      <c r="CL26" s="12" t="e">
        <f>#REF!*' Inputs'!$H$33*' Inputs'!$H$34</f>
        <v>#REF!</v>
      </c>
      <c r="CM26" s="12" t="e">
        <f>#REF!*' Inputs'!$H$33*' Inputs'!$H$34</f>
        <v>#REF!</v>
      </c>
      <c r="CN26" s="12" t="e">
        <f>#REF!*' Inputs'!$H$33*' Inputs'!$H$34</f>
        <v>#REF!</v>
      </c>
      <c r="CO26" s="12" t="e">
        <f>#REF!*' Inputs'!$H$33*' Inputs'!$H$34</f>
        <v>#REF!</v>
      </c>
    </row>
    <row r="27" spans="1:93" x14ac:dyDescent="0.2">
      <c r="A27" t="s">
        <v>220</v>
      </c>
      <c r="B27" s="5">
        <f>' Inputs'!C32*' Inputs'!C33*Summary!B17</f>
        <v>0</v>
      </c>
      <c r="C27" s="5">
        <f>' Inputs'!D32*' Inputs'!D33*Summary!C17</f>
        <v>0</v>
      </c>
      <c r="D27" s="5">
        <f>' Inputs'!E32*' Inputs'!E33*Summary!D17</f>
        <v>0</v>
      </c>
      <c r="E27" s="5">
        <f>' Inputs'!F32*' Inputs'!F33*Summary!E17</f>
        <v>0</v>
      </c>
      <c r="F27" s="5">
        <f>' Inputs'!G32*' Inputs'!G33*Summary!F17</f>
        <v>0</v>
      </c>
      <c r="G27" s="5">
        <f>' Inputs'!H32*' Inputs'!H33*Summary!G17</f>
        <v>0</v>
      </c>
      <c r="H27" s="5">
        <f>' Inputs'!I32*' Inputs'!I33*Summary!H17</f>
        <v>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</row>
    <row r="28" spans="1:93" x14ac:dyDescent="0.2">
      <c r="A28" t="s">
        <v>312</v>
      </c>
      <c r="B28" s="5"/>
      <c r="C28" s="5"/>
      <c r="D28" s="5"/>
      <c r="E28" s="5"/>
      <c r="F28" s="5"/>
      <c r="G28" s="5"/>
      <c r="H28" s="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</row>
    <row r="29" spans="1:93" x14ac:dyDescent="0.2">
      <c r="A29" t="s">
        <v>311</v>
      </c>
      <c r="B29" s="5">
        <f t="shared" ref="B29" si="79">SUM(J29:U29)</f>
        <v>0</v>
      </c>
      <c r="C29" s="5">
        <f>SUM(V29:AG29)</f>
        <v>19481.622342133807</v>
      </c>
      <c r="D29" s="5">
        <f t="shared" ref="D29" si="80">SUM(AH29:AS29)</f>
        <v>140511.43774726329</v>
      </c>
      <c r="E29" s="5">
        <f t="shared" ref="E29" si="81">SUM(AT29:BE29)</f>
        <v>1350974.0871068854</v>
      </c>
      <c r="F29" s="5">
        <f t="shared" ref="F29" si="82">SUM(BF29:BQ29)</f>
        <v>7228049.2520358665</v>
      </c>
      <c r="G29" s="12">
        <f t="shared" ref="G29" si="83">SUM(BR29:CC29)</f>
        <v>38671871.273074083</v>
      </c>
      <c r="H29" s="12">
        <f>SUM(CD29:CO29)</f>
        <v>206904183.35763043</v>
      </c>
      <c r="J29" s="12">
        <f>' Inputs'!$C$29*Summary!J13</f>
        <v>0</v>
      </c>
      <c r="K29" s="12">
        <f>' Inputs'!$C$29*Summary!K13</f>
        <v>0</v>
      </c>
      <c r="L29" s="12">
        <f>' Inputs'!$C$29*Summary!L13</f>
        <v>0</v>
      </c>
      <c r="M29" s="12">
        <f>' Inputs'!$C$29*Summary!M13</f>
        <v>0</v>
      </c>
      <c r="N29" s="12">
        <f>' Inputs'!$C$29*Summary!N13</f>
        <v>0</v>
      </c>
      <c r="O29" s="12">
        <f>' Inputs'!$C$29*Summary!O13</f>
        <v>0</v>
      </c>
      <c r="P29" s="12">
        <f>' Inputs'!$C$29*Summary!P13</f>
        <v>0</v>
      </c>
      <c r="Q29" s="12">
        <f>' Inputs'!$C$29*Summary!Q13</f>
        <v>0</v>
      </c>
      <c r="R29" s="12">
        <f>' Inputs'!$C$29*Summary!R13</f>
        <v>0</v>
      </c>
      <c r="S29" s="12">
        <f>' Inputs'!$C$29*Summary!S13</f>
        <v>0</v>
      </c>
      <c r="T29" s="12">
        <f>' Inputs'!$C$29*Summary!T13</f>
        <v>0</v>
      </c>
      <c r="U29" s="12">
        <f>' Inputs'!$C$29*Summary!U13</f>
        <v>0</v>
      </c>
      <c r="V29" s="12">
        <f>' Inputs'!$D$29*Summary!V13</f>
        <v>911.02524425000024</v>
      </c>
      <c r="W29" s="12">
        <f>' Inputs'!$D$29*Summary!W13</f>
        <v>1002.1277686750002</v>
      </c>
      <c r="X29" s="12">
        <f>' Inputs'!$D$29*Summary!X13</f>
        <v>1102.3405455425002</v>
      </c>
      <c r="Y29" s="12">
        <f>' Inputs'!$D$29*Summary!Y13</f>
        <v>1212.5746000967504</v>
      </c>
      <c r="Z29" s="12">
        <f>' Inputs'!$D$29*Summary!Z13</f>
        <v>1333.8320601064254</v>
      </c>
      <c r="AA29" s="12">
        <f>' Inputs'!$D$29*Summary!AA13</f>
        <v>1467.215266117068</v>
      </c>
      <c r="AB29" s="12">
        <f>' Inputs'!$D$29*Summary!AB13</f>
        <v>1613.9367927287747</v>
      </c>
      <c r="AC29" s="12">
        <f>' Inputs'!$D$29*Summary!AC13</f>
        <v>1775.3304720016522</v>
      </c>
      <c r="AD29" s="12">
        <f>' Inputs'!$D$29*Summary!AD13</f>
        <v>1952.8635192018176</v>
      </c>
      <c r="AE29" s="12">
        <f>' Inputs'!$D$29*Summary!AE13</f>
        <v>2148.1498711219992</v>
      </c>
      <c r="AF29" s="12">
        <f>' Inputs'!$D$29*Summary!AF13</f>
        <v>2362.9648582341988</v>
      </c>
      <c r="AG29" s="12">
        <f>' Inputs'!$D$29*Summary!AG13</f>
        <v>2599.2613440576188</v>
      </c>
      <c r="AH29" s="12">
        <f>' Inputs'!$E$29*Summary!AH13</f>
        <v>5822.3454106890667</v>
      </c>
      <c r="AI29" s="12">
        <f>' Inputs'!$E$29*Summary!AI13</f>
        <v>6521.0268599717538</v>
      </c>
      <c r="AJ29" s="12">
        <f>' Inputs'!$E$29*Summary!AJ13</f>
        <v>7303.5500831683639</v>
      </c>
      <c r="AK29" s="12">
        <f>' Inputs'!$E$29*Summary!AK13</f>
        <v>8179.9760931485662</v>
      </c>
      <c r="AL29" s="12">
        <f>' Inputs'!$E$29*Summary!AL13</f>
        <v>9161.5732243263956</v>
      </c>
      <c r="AM29" s="12">
        <f>' Inputs'!$E$29*Summary!AM13</f>
        <v>10260.962011245561</v>
      </c>
      <c r="AN29" s="12">
        <f>' Inputs'!$E$29*Summary!AN13</f>
        <v>11492.277452595028</v>
      </c>
      <c r="AO29" s="12">
        <f>' Inputs'!$E$29*Summary!AO13</f>
        <v>12871.350746906432</v>
      </c>
      <c r="AP29" s="12">
        <f>' Inputs'!$E$29*Summary!AP13</f>
        <v>14415.912836535204</v>
      </c>
      <c r="AQ29" s="12">
        <f>' Inputs'!$E$29*Summary!AQ13</f>
        <v>16145.822376919428</v>
      </c>
      <c r="AR29" s="12">
        <f>' Inputs'!$E$29*Summary!AR13</f>
        <v>18083.32106214976</v>
      </c>
      <c r="AS29" s="12">
        <f>' Inputs'!$E$29*Summary!AS13</f>
        <v>20253.319589607734</v>
      </c>
      <c r="AT29" s="12">
        <f>' Inputs'!$F$29*Summary!AT13</f>
        <v>46582.635056097788</v>
      </c>
      <c r="AU29" s="12">
        <f>' Inputs'!$F$29*Summary!AU13</f>
        <v>53570.030314512449</v>
      </c>
      <c r="AV29" s="12">
        <f>' Inputs'!$F$29*Summary!AV13</f>
        <v>61605.534861689317</v>
      </c>
      <c r="AW29" s="12">
        <f>' Inputs'!$F$29*Summary!AW13</f>
        <v>70846.365090942723</v>
      </c>
      <c r="AX29" s="12">
        <f>' Inputs'!$F$29*Summary!AX13</f>
        <v>81473.31985458413</v>
      </c>
      <c r="AY29" s="12">
        <f>' Inputs'!$F$29*Summary!AY13</f>
        <v>93694.317832771747</v>
      </c>
      <c r="AZ29" s="12">
        <f>' Inputs'!$F$29*Summary!AZ13</f>
        <v>107748.46550768752</v>
      </c>
      <c r="BA29" s="12">
        <f>' Inputs'!$F$29*Summary!BA13</f>
        <v>123910.73533384065</v>
      </c>
      <c r="BB29" s="12">
        <f>' Inputs'!$F$29*Summary!BB13</f>
        <v>142497.34563391676</v>
      </c>
      <c r="BC29" s="12">
        <f>' Inputs'!$F$29*Summary!BC13</f>
        <v>163871.94747900427</v>
      </c>
      <c r="BD29" s="12">
        <f>' Inputs'!$F$29*Summary!BD13</f>
        <v>188452.73960085493</v>
      </c>
      <c r="BE29" s="12">
        <f>' Inputs'!$F$29*Summary!BE13</f>
        <v>216720.65054098316</v>
      </c>
      <c r="BF29" s="12">
        <f>' Inputs'!$G$29*Summary!BF13</f>
        <v>249228.74812213064</v>
      </c>
      <c r="BG29" s="12">
        <f>' Inputs'!$G$29*Summary!BG13</f>
        <v>286613.06034045026</v>
      </c>
      <c r="BH29" s="12">
        <f>' Inputs'!$G$29*Summary!BH13</f>
        <v>329605.0193915178</v>
      </c>
      <c r="BI29" s="12">
        <f>' Inputs'!$G$29*Summary!BI13</f>
        <v>379045.77230024541</v>
      </c>
      <c r="BJ29" s="12">
        <f>' Inputs'!$G$29*Summary!BJ13</f>
        <v>435902.63814528228</v>
      </c>
      <c r="BK29" s="12">
        <f>' Inputs'!$G$29*Summary!BK13</f>
        <v>501288.03386707458</v>
      </c>
      <c r="BL29" s="12">
        <f>' Inputs'!$G$29*Summary!BL13</f>
        <v>576481.23894713586</v>
      </c>
      <c r="BM29" s="12">
        <f>' Inputs'!$G$29*Summary!BM13</f>
        <v>662953.42478920624</v>
      </c>
      <c r="BN29" s="12">
        <f>' Inputs'!$G$29*Summary!BN13</f>
        <v>762396.43850758707</v>
      </c>
      <c r="BO29" s="12">
        <f>' Inputs'!$G$29*Summary!BO13</f>
        <v>876755.90428372519</v>
      </c>
      <c r="BP29" s="12">
        <f>' Inputs'!$G$29*Summary!BP13</f>
        <v>1008269.289926284</v>
      </c>
      <c r="BQ29" s="12">
        <f>' Inputs'!$G$29*Summary!BQ13</f>
        <v>1159509.6834152266</v>
      </c>
      <c r="BR29" s="12">
        <f>' Inputs'!$H$29*Summary!BR13</f>
        <v>1333436.1359275107</v>
      </c>
      <c r="BS29" s="12">
        <f>' Inputs'!$H$29*Summary!BS13</f>
        <v>1533451.5563166372</v>
      </c>
      <c r="BT29" s="12">
        <f>' Inputs'!$H$29*Summary!BT13</f>
        <v>1763469.2897641328</v>
      </c>
      <c r="BU29" s="12">
        <f>' Inputs'!$H$29*Summary!BU13</f>
        <v>2027989.683228753</v>
      </c>
      <c r="BV29" s="12">
        <f>' Inputs'!$H$29*Summary!BV13</f>
        <v>2332188.135713066</v>
      </c>
      <c r="BW29" s="12">
        <f>' Inputs'!$H$29*Summary!BW13</f>
        <v>2682016.3560700263</v>
      </c>
      <c r="BX29" s="12">
        <f>' Inputs'!$H$29*Summary!BX13</f>
        <v>3084318.8094805302</v>
      </c>
      <c r="BY29" s="12">
        <f>' Inputs'!$H$29*Summary!BY13</f>
        <v>3546966.6309026098</v>
      </c>
      <c r="BZ29" s="12">
        <f>' Inputs'!$H$29*Summary!BZ13</f>
        <v>4079011.6255380018</v>
      </c>
      <c r="CA29" s="12">
        <f>' Inputs'!$H$29*Summary!CA13</f>
        <v>4690863.3693687022</v>
      </c>
      <c r="CB29" s="12">
        <f>' Inputs'!$H$29*Summary!CB13</f>
        <v>5394492.8747740071</v>
      </c>
      <c r="CC29" s="12">
        <f>' Inputs'!$H$29*Summary!CC13</f>
        <v>6203666.8059901083</v>
      </c>
      <c r="CD29" s="12">
        <f>' Inputs'!$I$29*Summary!CD13</f>
        <v>7134216.8268886246</v>
      </c>
      <c r="CE29" s="12">
        <f>' Inputs'!$I$29*Summary!CE13</f>
        <v>8204349.3509219186</v>
      </c>
      <c r="CF29" s="12">
        <f>' Inputs'!$I$29*Summary!CF13</f>
        <v>9435001.7535602059</v>
      </c>
      <c r="CG29" s="12">
        <f>' Inputs'!$I$29*Summary!CG13</f>
        <v>10850252.016594239</v>
      </c>
      <c r="CH29" s="12">
        <f>' Inputs'!$I$29*Summary!CH13</f>
        <v>12477789.819083372</v>
      </c>
      <c r="CI29" s="12">
        <f>' Inputs'!$I$29*Summary!CI13</f>
        <v>14349458.29194588</v>
      </c>
      <c r="CJ29" s="12">
        <f>' Inputs'!$I$29*Summary!CJ13</f>
        <v>16501877.035737762</v>
      </c>
      <c r="CK29" s="12">
        <f>' Inputs'!$I$29*Summary!CK13</f>
        <v>18977158.591098424</v>
      </c>
      <c r="CL29" s="12">
        <f>' Inputs'!$I$29*Summary!CL13</f>
        <v>21823732.37976319</v>
      </c>
      <c r="CM29" s="12">
        <f>' Inputs'!$I$29*Summary!CM13</f>
        <v>25097292.23672767</v>
      </c>
      <c r="CN29" s="12">
        <f>' Inputs'!$I$29*Summary!CN13</f>
        <v>28861886.072236817</v>
      </c>
      <c r="CO29" s="12">
        <f>' Inputs'!$I$29*Summary!CO13</f>
        <v>33191168.98307234</v>
      </c>
    </row>
    <row r="30" spans="1:93" x14ac:dyDescent="0.2">
      <c r="A30" t="s">
        <v>225</v>
      </c>
      <c r="B30" s="14"/>
      <c r="C30" s="14"/>
      <c r="D30" s="14"/>
      <c r="E30" s="5"/>
      <c r="F30" s="5"/>
      <c r="G30" s="5"/>
      <c r="H30" s="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</row>
    <row r="31" spans="1:93" s="15" customFormat="1" x14ac:dyDescent="0.2">
      <c r="A31" s="15" t="s">
        <v>18</v>
      </c>
      <c r="B31" s="16" t="e">
        <f>#REF!+B29+B26+#REF!+#REF!</f>
        <v>#REF!</v>
      </c>
      <c r="C31" s="16" t="e">
        <f>#REF!+C29+C26+#REF!+#REF!</f>
        <v>#REF!</v>
      </c>
      <c r="D31" s="16" t="e">
        <f>#REF!+D29+D26+#REF!+#REF!</f>
        <v>#REF!</v>
      </c>
      <c r="E31" s="16" t="e">
        <f>#REF!+E29+E26+#REF!+#REF!</f>
        <v>#REF!</v>
      </c>
      <c r="F31" s="16" t="e">
        <f>#REF!+F29+F26+#REF!+#REF!</f>
        <v>#REF!</v>
      </c>
      <c r="G31" s="16" t="e">
        <f>#REF!+G29+G26+#REF!+#REF!</f>
        <v>#REF!</v>
      </c>
      <c r="H31" s="16" t="e">
        <f>#REF!+H29+H26+#REF!+#REF!</f>
        <v>#REF!</v>
      </c>
      <c r="I31" s="8"/>
      <c r="J31" s="8">
        <f t="shared" ref="J31:AO31" si="84">SUM(J29:J29)</f>
        <v>0</v>
      </c>
      <c r="K31" s="8">
        <f t="shared" si="84"/>
        <v>0</v>
      </c>
      <c r="L31" s="8">
        <f t="shared" si="84"/>
        <v>0</v>
      </c>
      <c r="M31" s="8">
        <f t="shared" si="84"/>
        <v>0</v>
      </c>
      <c r="N31" s="8">
        <f t="shared" si="84"/>
        <v>0</v>
      </c>
      <c r="O31" s="8">
        <f t="shared" si="84"/>
        <v>0</v>
      </c>
      <c r="P31" s="8">
        <f t="shared" si="84"/>
        <v>0</v>
      </c>
      <c r="Q31" s="8">
        <f t="shared" si="84"/>
        <v>0</v>
      </c>
      <c r="R31" s="8">
        <f t="shared" si="84"/>
        <v>0</v>
      </c>
      <c r="S31" s="8">
        <f t="shared" si="84"/>
        <v>0</v>
      </c>
      <c r="T31" s="8">
        <f t="shared" si="84"/>
        <v>0</v>
      </c>
      <c r="U31" s="8">
        <f t="shared" si="84"/>
        <v>0</v>
      </c>
      <c r="V31" s="8">
        <f t="shared" si="84"/>
        <v>911.02524425000024</v>
      </c>
      <c r="W31" s="8">
        <f t="shared" si="84"/>
        <v>1002.1277686750002</v>
      </c>
      <c r="X31" s="8">
        <f t="shared" si="84"/>
        <v>1102.3405455425002</v>
      </c>
      <c r="Y31" s="8">
        <f t="shared" si="84"/>
        <v>1212.5746000967504</v>
      </c>
      <c r="Z31" s="8">
        <f t="shared" si="84"/>
        <v>1333.8320601064254</v>
      </c>
      <c r="AA31" s="8">
        <f t="shared" si="84"/>
        <v>1467.215266117068</v>
      </c>
      <c r="AB31" s="8">
        <f t="shared" si="84"/>
        <v>1613.9367927287747</v>
      </c>
      <c r="AC31" s="8">
        <f t="shared" si="84"/>
        <v>1775.3304720016522</v>
      </c>
      <c r="AD31" s="8">
        <f t="shared" si="84"/>
        <v>1952.8635192018176</v>
      </c>
      <c r="AE31" s="8">
        <f t="shared" si="84"/>
        <v>2148.1498711219992</v>
      </c>
      <c r="AF31" s="8">
        <f t="shared" si="84"/>
        <v>2362.9648582341988</v>
      </c>
      <c r="AG31" s="8">
        <f t="shared" si="84"/>
        <v>2599.2613440576188</v>
      </c>
      <c r="AH31" s="8">
        <f t="shared" si="84"/>
        <v>5822.3454106890667</v>
      </c>
      <c r="AI31" s="8">
        <f t="shared" si="84"/>
        <v>6521.0268599717538</v>
      </c>
      <c r="AJ31" s="8">
        <f t="shared" si="84"/>
        <v>7303.5500831683639</v>
      </c>
      <c r="AK31" s="8">
        <f t="shared" si="84"/>
        <v>8179.9760931485662</v>
      </c>
      <c r="AL31" s="8">
        <f t="shared" si="84"/>
        <v>9161.5732243263956</v>
      </c>
      <c r="AM31" s="8">
        <f t="shared" si="84"/>
        <v>10260.962011245561</v>
      </c>
      <c r="AN31" s="8">
        <f t="shared" si="84"/>
        <v>11492.277452595028</v>
      </c>
      <c r="AO31" s="8">
        <f t="shared" si="84"/>
        <v>12871.350746906432</v>
      </c>
      <c r="AP31" s="8">
        <f t="shared" ref="AP31:BU31" si="85">SUM(AP29:AP29)</f>
        <v>14415.912836535204</v>
      </c>
      <c r="AQ31" s="8">
        <f t="shared" si="85"/>
        <v>16145.822376919428</v>
      </c>
      <c r="AR31" s="8">
        <f t="shared" si="85"/>
        <v>18083.32106214976</v>
      </c>
      <c r="AS31" s="8">
        <f t="shared" si="85"/>
        <v>20253.319589607734</v>
      </c>
      <c r="AT31" s="8">
        <f t="shared" si="85"/>
        <v>46582.635056097788</v>
      </c>
      <c r="AU31" s="8">
        <f t="shared" si="85"/>
        <v>53570.030314512449</v>
      </c>
      <c r="AV31" s="8">
        <f t="shared" si="85"/>
        <v>61605.534861689317</v>
      </c>
      <c r="AW31" s="8">
        <f t="shared" si="85"/>
        <v>70846.365090942723</v>
      </c>
      <c r="AX31" s="8">
        <f t="shared" si="85"/>
        <v>81473.31985458413</v>
      </c>
      <c r="AY31" s="8">
        <f t="shared" si="85"/>
        <v>93694.317832771747</v>
      </c>
      <c r="AZ31" s="8">
        <f t="shared" si="85"/>
        <v>107748.46550768752</v>
      </c>
      <c r="BA31" s="8">
        <f t="shared" si="85"/>
        <v>123910.73533384065</v>
      </c>
      <c r="BB31" s="8">
        <f t="shared" si="85"/>
        <v>142497.34563391676</v>
      </c>
      <c r="BC31" s="8">
        <f t="shared" si="85"/>
        <v>163871.94747900427</v>
      </c>
      <c r="BD31" s="8">
        <f t="shared" si="85"/>
        <v>188452.73960085493</v>
      </c>
      <c r="BE31" s="8">
        <f t="shared" si="85"/>
        <v>216720.65054098316</v>
      </c>
      <c r="BF31" s="8">
        <f t="shared" si="85"/>
        <v>249228.74812213064</v>
      </c>
      <c r="BG31" s="8">
        <f t="shared" si="85"/>
        <v>286613.06034045026</v>
      </c>
      <c r="BH31" s="8">
        <f t="shared" si="85"/>
        <v>329605.0193915178</v>
      </c>
      <c r="BI31" s="8">
        <f t="shared" si="85"/>
        <v>379045.77230024541</v>
      </c>
      <c r="BJ31" s="8">
        <f t="shared" si="85"/>
        <v>435902.63814528228</v>
      </c>
      <c r="BK31" s="8">
        <f t="shared" si="85"/>
        <v>501288.03386707458</v>
      </c>
      <c r="BL31" s="8">
        <f t="shared" si="85"/>
        <v>576481.23894713586</v>
      </c>
      <c r="BM31" s="8">
        <f t="shared" si="85"/>
        <v>662953.42478920624</v>
      </c>
      <c r="BN31" s="8">
        <f t="shared" si="85"/>
        <v>762396.43850758707</v>
      </c>
      <c r="BO31" s="8">
        <f t="shared" si="85"/>
        <v>876755.90428372519</v>
      </c>
      <c r="BP31" s="8">
        <f t="shared" si="85"/>
        <v>1008269.289926284</v>
      </c>
      <c r="BQ31" s="8">
        <f t="shared" si="85"/>
        <v>1159509.6834152266</v>
      </c>
      <c r="BR31" s="8">
        <f t="shared" si="85"/>
        <v>1333436.1359275107</v>
      </c>
      <c r="BS31" s="8">
        <f t="shared" si="85"/>
        <v>1533451.5563166372</v>
      </c>
      <c r="BT31" s="8">
        <f t="shared" si="85"/>
        <v>1763469.2897641328</v>
      </c>
      <c r="BU31" s="8">
        <f t="shared" si="85"/>
        <v>2027989.683228753</v>
      </c>
      <c r="BV31" s="8">
        <f t="shared" ref="BV31:CO31" si="86">SUM(BV29:BV29)</f>
        <v>2332188.135713066</v>
      </c>
      <c r="BW31" s="8">
        <f t="shared" si="86"/>
        <v>2682016.3560700263</v>
      </c>
      <c r="BX31" s="8">
        <f t="shared" si="86"/>
        <v>3084318.8094805302</v>
      </c>
      <c r="BY31" s="8">
        <f t="shared" si="86"/>
        <v>3546966.6309026098</v>
      </c>
      <c r="BZ31" s="8">
        <f t="shared" si="86"/>
        <v>4079011.6255380018</v>
      </c>
      <c r="CA31" s="8">
        <f t="shared" si="86"/>
        <v>4690863.3693687022</v>
      </c>
      <c r="CB31" s="8">
        <f t="shared" si="86"/>
        <v>5394492.8747740071</v>
      </c>
      <c r="CC31" s="8">
        <f t="shared" si="86"/>
        <v>6203666.8059901083</v>
      </c>
      <c r="CD31" s="8">
        <f t="shared" si="86"/>
        <v>7134216.8268886246</v>
      </c>
      <c r="CE31" s="8">
        <f t="shared" si="86"/>
        <v>8204349.3509219186</v>
      </c>
      <c r="CF31" s="8">
        <f t="shared" si="86"/>
        <v>9435001.7535602059</v>
      </c>
      <c r="CG31" s="8">
        <f t="shared" si="86"/>
        <v>10850252.016594239</v>
      </c>
      <c r="CH31" s="8">
        <f t="shared" si="86"/>
        <v>12477789.819083372</v>
      </c>
      <c r="CI31" s="8">
        <f t="shared" si="86"/>
        <v>14349458.29194588</v>
      </c>
      <c r="CJ31" s="8">
        <f t="shared" si="86"/>
        <v>16501877.035737762</v>
      </c>
      <c r="CK31" s="8">
        <f t="shared" si="86"/>
        <v>18977158.591098424</v>
      </c>
      <c r="CL31" s="8">
        <f t="shared" si="86"/>
        <v>21823732.37976319</v>
      </c>
      <c r="CM31" s="8">
        <f t="shared" si="86"/>
        <v>25097292.23672767</v>
      </c>
      <c r="CN31" s="8">
        <f t="shared" si="86"/>
        <v>28861886.072236817</v>
      </c>
      <c r="CO31" s="8">
        <f t="shared" si="86"/>
        <v>33191168.98307234</v>
      </c>
    </row>
    <row r="33" spans="1:93" s="70" customFormat="1" x14ac:dyDescent="0.2">
      <c r="A33" s="71" t="s">
        <v>144</v>
      </c>
      <c r="B33" s="68"/>
      <c r="C33" s="68"/>
      <c r="D33" s="68"/>
      <c r="E33" s="68"/>
      <c r="F33" s="68"/>
      <c r="G33" s="68"/>
      <c r="H33" s="68"/>
      <c r="I33" s="68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</row>
    <row r="34" spans="1:93" x14ac:dyDescent="0.2">
      <c r="A34" t="s">
        <v>226</v>
      </c>
    </row>
    <row r="35" spans="1:93" x14ac:dyDescent="0.2">
      <c r="A35" s="80" t="s">
        <v>221</v>
      </c>
      <c r="B35" s="12">
        <f t="shared" ref="B35:H35" si="87">B11</f>
        <v>1573.5890582500001</v>
      </c>
      <c r="C35" s="12">
        <f t="shared" si="87"/>
        <v>2656.5848648364286</v>
      </c>
      <c r="D35" s="12">
        <f t="shared" si="87"/>
        <v>7527.3984507462483</v>
      </c>
      <c r="E35" s="12">
        <f t="shared" si="87"/>
        <v>44053.502840441914</v>
      </c>
      <c r="F35" s="12">
        <f t="shared" si="87"/>
        <v>235697.25821856083</v>
      </c>
      <c r="G35" s="12">
        <f t="shared" si="87"/>
        <v>1261039.2806437199</v>
      </c>
      <c r="H35" s="12">
        <f t="shared" si="87"/>
        <v>6746875.5442705583</v>
      </c>
    </row>
    <row r="36" spans="1:93" x14ac:dyDescent="0.2">
      <c r="A36" s="80" t="s">
        <v>222</v>
      </c>
      <c r="B36" s="12">
        <f t="shared" ref="B36:H36" si="88">B21</f>
        <v>50000</v>
      </c>
      <c r="C36" s="12">
        <f t="shared" si="88"/>
        <v>200612.37</v>
      </c>
      <c r="D36" s="12">
        <f t="shared" si="88"/>
        <v>3660409.6900000004</v>
      </c>
      <c r="E36" s="12">
        <f t="shared" si="88"/>
        <v>12819067.019999996</v>
      </c>
      <c r="F36" s="12">
        <f t="shared" si="88"/>
        <v>19766882.524999999</v>
      </c>
      <c r="G36" s="12">
        <f t="shared" si="88"/>
        <v>26278382.47499999</v>
      </c>
      <c r="H36" s="12">
        <f t="shared" si="88"/>
        <v>32810482.999999985</v>
      </c>
    </row>
    <row r="37" spans="1:93" x14ac:dyDescent="0.2">
      <c r="A37" s="80" t="s">
        <v>165</v>
      </c>
      <c r="B37" s="12">
        <f>SUMIF(Merchants!$N$4:$N$11, 1, Merchants!$M$4:$M$11)</f>
        <v>33075.800000000003</v>
      </c>
      <c r="C37" s="12">
        <f>SUMIF(Merchants!$N$4:$N$11, 2, Merchants!$M$4:$M$11)</f>
        <v>407799.2</v>
      </c>
      <c r="D37" s="12">
        <f>SUMIF(Merchants!$N$4:$N$11, 3, Merchants!$M$4:$M$11)</f>
        <v>105956.50000000001</v>
      </c>
      <c r="E37" s="12">
        <f>SUMIF(Merchants!$N$4:$N$11, 4, Merchants!$M$4:$M$11)</f>
        <v>7370252.6999999993</v>
      </c>
      <c r="F37" s="12">
        <f>SUMIF(Merchants!$N$4:$N$11, 5, Merchants!$M$4:$M$11)</f>
        <v>10621011.600000001</v>
      </c>
      <c r="G37" s="12">
        <f>SUMIF(Merchants!$N$4:$N$11, 6, Merchants!$M$4:$M$11)</f>
        <v>10322809.200000001</v>
      </c>
      <c r="H37" s="12">
        <f>SUMIF(Merchants!$N$4:$N$11, 7, Merchants!$M$4:$M$11)</f>
        <v>0</v>
      </c>
    </row>
    <row r="38" spans="1:93" x14ac:dyDescent="0.2">
      <c r="A38" t="s">
        <v>151</v>
      </c>
      <c r="B38" s="12">
        <f>SUM(J38:U38)</f>
        <v>673900</v>
      </c>
      <c r="C38" s="12">
        <f>SUM(V38:AG38)</f>
        <v>864600.00000000012</v>
      </c>
      <c r="D38" s="12" t="e">
        <f>SUM(AH38:AS38)</f>
        <v>#REF!</v>
      </c>
      <c r="E38" s="12" t="e">
        <f>D38</f>
        <v>#REF!</v>
      </c>
      <c r="F38" s="12" t="e">
        <f t="shared" ref="F38:H38" si="89">E38</f>
        <v>#REF!</v>
      </c>
      <c r="G38" s="12" t="e">
        <f t="shared" si="89"/>
        <v>#REF!</v>
      </c>
      <c r="H38" s="12" t="e">
        <f t="shared" si="89"/>
        <v>#REF!</v>
      </c>
      <c r="J38" s="12">
        <f>'Expenses Yr1-2'!D34</f>
        <v>42158.333333333336</v>
      </c>
      <c r="K38" s="12">
        <f>'Expenses Yr1-2'!E34</f>
        <v>42158.333333333336</v>
      </c>
      <c r="L38" s="12">
        <f>'Expenses Yr1-2'!F34</f>
        <v>42158.333333333336</v>
      </c>
      <c r="M38" s="12">
        <f>'Expenses Yr1-2'!G34</f>
        <v>42158.333333333336</v>
      </c>
      <c r="N38" s="12">
        <f>'Expenses Yr1-2'!H34</f>
        <v>42158.333333333336</v>
      </c>
      <c r="O38" s="12">
        <f>'Expenses Yr1-2'!I34</f>
        <v>66158.333333333328</v>
      </c>
      <c r="P38" s="12">
        <f>'Expenses Yr1-2'!J34</f>
        <v>66158.333333333328</v>
      </c>
      <c r="Q38" s="12">
        <f>'Expenses Yr1-2'!K34</f>
        <v>66158.333333333328</v>
      </c>
      <c r="R38" s="12">
        <f>'Expenses Yr1-2'!L34</f>
        <v>66158.333333333328</v>
      </c>
      <c r="S38" s="12">
        <f>'Expenses Yr1-2'!M34</f>
        <v>66158.333333333328</v>
      </c>
      <c r="T38" s="12">
        <f>'Expenses Yr1-2'!N34</f>
        <v>66158.333333333328</v>
      </c>
      <c r="U38" s="12">
        <f>'Expenses Yr1-2'!O34</f>
        <v>66158.333333333328</v>
      </c>
      <c r="V38" s="12">
        <f>'Expenses Yr1-2'!P34</f>
        <v>71758.333333333328</v>
      </c>
      <c r="W38" s="12">
        <f>'Expenses Yr1-2'!Q34</f>
        <v>71758.333333333328</v>
      </c>
      <c r="X38" s="12">
        <f>'Expenses Yr1-2'!R34</f>
        <v>71758.333333333328</v>
      </c>
      <c r="Y38" s="12">
        <f>'Expenses Yr1-2'!S34</f>
        <v>71758.333333333328</v>
      </c>
      <c r="Z38" s="12">
        <f>'Expenses Yr1-2'!T34</f>
        <v>71758.333333333328</v>
      </c>
      <c r="AA38" s="12">
        <f>'Expenses Yr1-2'!U34</f>
        <v>72258.333333333328</v>
      </c>
      <c r="AB38" s="12">
        <f>'Expenses Yr1-2'!V34</f>
        <v>72258.333333333328</v>
      </c>
      <c r="AC38" s="12">
        <f>'Expenses Yr1-2'!W34</f>
        <v>72258.333333333328</v>
      </c>
      <c r="AD38" s="12">
        <f>'Expenses Yr1-2'!X34</f>
        <v>72258.333333333328</v>
      </c>
      <c r="AE38" s="12">
        <f>'Expenses Yr1-2'!Y34</f>
        <v>72258.333333333328</v>
      </c>
      <c r="AF38" s="12">
        <f>'Expenses Yr1-2'!Z34</f>
        <v>72258.333333333328</v>
      </c>
      <c r="AG38" s="12">
        <f>'Expenses Yr1-2'!AA34</f>
        <v>72258.333333333328</v>
      </c>
      <c r="AH38" s="12" t="e">
        <f>'Expenses Yr1-2'!#REF!</f>
        <v>#REF!</v>
      </c>
      <c r="AI38" s="12" t="e">
        <f>'Expenses Yr1-2'!#REF!</f>
        <v>#REF!</v>
      </c>
      <c r="AJ38" s="12" t="e">
        <f>'Expenses Yr1-2'!#REF!</f>
        <v>#REF!</v>
      </c>
      <c r="AK38" s="12" t="e">
        <f>'Expenses Yr1-2'!#REF!</f>
        <v>#REF!</v>
      </c>
      <c r="AL38" s="12" t="e">
        <f>'Expenses Yr1-2'!#REF!</f>
        <v>#REF!</v>
      </c>
      <c r="AM38" s="12" t="e">
        <f>'Expenses Yr1-2'!#REF!</f>
        <v>#REF!</v>
      </c>
      <c r="AN38" s="12" t="e">
        <f>'Expenses Yr1-2'!#REF!</f>
        <v>#REF!</v>
      </c>
      <c r="AO38" s="12" t="e">
        <f>'Expenses Yr1-2'!#REF!</f>
        <v>#REF!</v>
      </c>
      <c r="AP38" s="12" t="e">
        <f>'Expenses Yr1-2'!#REF!</f>
        <v>#REF!</v>
      </c>
      <c r="AQ38" s="12" t="e">
        <f>'Expenses Yr1-2'!#REF!</f>
        <v>#REF!</v>
      </c>
      <c r="AR38" s="12" t="e">
        <f>'Expenses Yr1-2'!#REF!</f>
        <v>#REF!</v>
      </c>
      <c r="AS38" s="12" t="e">
        <f>'Expenses Yr1-2'!#REF!</f>
        <v>#REF!</v>
      </c>
    </row>
    <row r="39" spans="1:93" x14ac:dyDescent="0.2">
      <c r="A39" s="74" t="s">
        <v>152</v>
      </c>
      <c r="B39" s="12">
        <v>0</v>
      </c>
      <c r="C39" s="12">
        <v>0</v>
      </c>
      <c r="D39" s="12">
        <v>0</v>
      </c>
      <c r="E39" s="12" t="e">
        <f>' Inputs'!C60*Summary!E31</f>
        <v>#REF!</v>
      </c>
      <c r="F39" s="12" t="e">
        <f>F31*' Inputs'!C61</f>
        <v>#REF!</v>
      </c>
      <c r="G39" s="12" t="e">
        <f>' Inputs'!C62*Summary!G31</f>
        <v>#REF!</v>
      </c>
      <c r="H39" s="12" t="e">
        <f>' Inputs'!C63*H31</f>
        <v>#REF!</v>
      </c>
      <c r="J39" s="12"/>
      <c r="K39" s="12"/>
      <c r="L39" s="12"/>
      <c r="M39" s="12"/>
    </row>
    <row r="41" spans="1:93" s="15" customFormat="1" x14ac:dyDescent="0.2">
      <c r="A41" s="95" t="s">
        <v>153</v>
      </c>
      <c r="B41" s="8">
        <f>SUM(B35:B40)</f>
        <v>758549.38905825</v>
      </c>
      <c r="C41" s="8">
        <f t="shared" ref="C41:H41" si="90">SUM(C35:C40)</f>
        <v>1475668.1548648365</v>
      </c>
      <c r="D41" s="8" t="e">
        <f t="shared" si="90"/>
        <v>#REF!</v>
      </c>
      <c r="E41" s="8" t="e">
        <f t="shared" si="90"/>
        <v>#REF!</v>
      </c>
      <c r="F41" s="8" t="e">
        <f>SUM(F35:F40)</f>
        <v>#REF!</v>
      </c>
      <c r="G41" s="8" t="e">
        <f t="shared" si="90"/>
        <v>#REF!</v>
      </c>
      <c r="H41" s="8" t="e">
        <f t="shared" si="90"/>
        <v>#REF!</v>
      </c>
      <c r="I41" s="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</row>
    <row r="43" spans="1:93" s="70" customFormat="1" x14ac:dyDescent="0.2">
      <c r="A43" s="71" t="s">
        <v>156</v>
      </c>
      <c r="B43" s="68"/>
      <c r="C43" s="68"/>
      <c r="D43" s="68"/>
      <c r="E43" s="68"/>
      <c r="F43" s="68"/>
      <c r="G43" s="68"/>
      <c r="H43" s="68"/>
      <c r="I43" s="6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</row>
    <row r="44" spans="1:93" x14ac:dyDescent="0.2">
      <c r="A44" s="74" t="s">
        <v>158</v>
      </c>
      <c r="B44" s="12" t="e">
        <f t="shared" ref="B44:H44" si="91">B31-B41</f>
        <v>#REF!</v>
      </c>
      <c r="C44" s="12" t="e">
        <f t="shared" si="91"/>
        <v>#REF!</v>
      </c>
      <c r="D44" s="12" t="e">
        <f t="shared" si="91"/>
        <v>#REF!</v>
      </c>
      <c r="E44" s="12" t="e">
        <f t="shared" si="91"/>
        <v>#REF!</v>
      </c>
      <c r="F44" s="12" t="e">
        <f t="shared" si="91"/>
        <v>#REF!</v>
      </c>
      <c r="G44" s="12" t="e">
        <f t="shared" si="91"/>
        <v>#REF!</v>
      </c>
      <c r="H44" s="12" t="e">
        <f t="shared" si="91"/>
        <v>#REF!</v>
      </c>
    </row>
    <row r="45" spans="1:93" x14ac:dyDescent="0.2">
      <c r="A45" s="74"/>
    </row>
    <row r="46" spans="1:93" x14ac:dyDescent="0.2">
      <c r="A46" s="74"/>
      <c r="B46" s="12" t="s">
        <v>98</v>
      </c>
      <c r="C46" s="12" t="s">
        <v>167</v>
      </c>
      <c r="D46" s="12" t="s">
        <v>169</v>
      </c>
      <c r="E46" s="12" t="s">
        <v>200</v>
      </c>
      <c r="F46" s="12" t="s">
        <v>168</v>
      </c>
    </row>
    <row r="47" spans="1:93" x14ac:dyDescent="0.2">
      <c r="A47" s="74" t="s">
        <v>157</v>
      </c>
      <c r="B47" s="12">
        <v>2000000</v>
      </c>
      <c r="C47" s="12">
        <v>3000000</v>
      </c>
      <c r="D47" s="12">
        <v>25000000</v>
      </c>
      <c r="E47" s="12">
        <v>50000000</v>
      </c>
      <c r="F47" s="12">
        <v>100000000</v>
      </c>
    </row>
    <row r="48" spans="1:93" x14ac:dyDescent="0.2">
      <c r="A48" t="s">
        <v>154</v>
      </c>
      <c r="B48" s="12">
        <v>0</v>
      </c>
      <c r="C48" s="12" t="e">
        <f>B49</f>
        <v>#REF!</v>
      </c>
      <c r="D48" s="12" t="e">
        <f t="shared" ref="D48:H48" si="92">C49</f>
        <v>#REF!</v>
      </c>
      <c r="E48" s="12" t="e">
        <f>D49</f>
        <v>#REF!</v>
      </c>
      <c r="F48" s="12" t="e">
        <f t="shared" si="92"/>
        <v>#REF!</v>
      </c>
      <c r="G48" s="12" t="e">
        <f t="shared" si="92"/>
        <v>#REF!</v>
      </c>
      <c r="H48" s="12" t="e">
        <f t="shared" si="92"/>
        <v>#REF!</v>
      </c>
    </row>
    <row r="49" spans="1:8" x14ac:dyDescent="0.2">
      <c r="A49" t="s">
        <v>155</v>
      </c>
      <c r="B49" s="12" t="e">
        <f t="shared" ref="B49:H49" si="93">B48+B44+B47</f>
        <v>#REF!</v>
      </c>
      <c r="C49" s="12" t="e">
        <f t="shared" si="93"/>
        <v>#REF!</v>
      </c>
      <c r="D49" s="12" t="e">
        <f t="shared" si="93"/>
        <v>#REF!</v>
      </c>
      <c r="E49" s="12" t="e">
        <f t="shared" si="93"/>
        <v>#REF!</v>
      </c>
      <c r="F49" s="12" t="e">
        <f t="shared" si="93"/>
        <v>#REF!</v>
      </c>
      <c r="G49" s="12" t="e">
        <f t="shared" si="93"/>
        <v>#REF!</v>
      </c>
      <c r="H49" s="12" t="e">
        <f t="shared" si="93"/>
        <v>#REF!</v>
      </c>
    </row>
    <row r="50" spans="1:8" x14ac:dyDescent="0.2">
      <c r="B50" s="91" t="s">
        <v>242</v>
      </c>
      <c r="C50" s="91" t="s">
        <v>197</v>
      </c>
      <c r="D50" s="91" t="s">
        <v>199</v>
      </c>
    </row>
  </sheetData>
  <phoneticPr fontId="7" type="noConversion"/>
  <pageMargins left="0.5" right="0.5" top="0.5" bottom="0.5" header="0.5" footer="0.5"/>
  <pageSetup scale="53" orientation="portrait" horizontalDpi="4294967292" verticalDpi="4294967292"/>
  <colBreaks count="1" manualBreakCount="1">
    <brk id="18" max="4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8594-CEA1-7746-B07C-04FA24349550}">
  <dimension ref="A1:I38"/>
  <sheetViews>
    <sheetView workbookViewId="0">
      <selection activeCell="A23" sqref="A23"/>
    </sheetView>
  </sheetViews>
  <sheetFormatPr baseColWidth="10" defaultRowHeight="16" x14ac:dyDescent="0.2"/>
  <cols>
    <col min="1" max="1" width="41" customWidth="1"/>
    <col min="2" max="2" width="10.83203125" style="3"/>
    <col min="3" max="3" width="11.1640625" style="3" bestFit="1" customWidth="1"/>
    <col min="4" max="9" width="10.83203125" style="3"/>
  </cols>
  <sheetData>
    <row r="1" spans="1:9" x14ac:dyDescent="0.2">
      <c r="A1" t="s">
        <v>290</v>
      </c>
    </row>
    <row r="2" spans="1:9" x14ac:dyDescent="0.2">
      <c r="A2" t="s">
        <v>291</v>
      </c>
    </row>
    <row r="3" spans="1:9" x14ac:dyDescent="0.2">
      <c r="A3" t="s">
        <v>292</v>
      </c>
    </row>
    <row r="4" spans="1:9" x14ac:dyDescent="0.2">
      <c r="A4" t="s">
        <v>293</v>
      </c>
    </row>
    <row r="5" spans="1:9" x14ac:dyDescent="0.2">
      <c r="A5" t="s">
        <v>294</v>
      </c>
    </row>
    <row r="6" spans="1:9" x14ac:dyDescent="0.2">
      <c r="A6" t="s">
        <v>295</v>
      </c>
    </row>
    <row r="7" spans="1:9" x14ac:dyDescent="0.2">
      <c r="A7" t="s">
        <v>296</v>
      </c>
    </row>
    <row r="8" spans="1:9" x14ac:dyDescent="0.2">
      <c r="A8" t="s">
        <v>297</v>
      </c>
    </row>
    <row r="10" spans="1:9" x14ac:dyDescent="0.2">
      <c r="A10" t="s">
        <v>298</v>
      </c>
    </row>
    <row r="11" spans="1:9" x14ac:dyDescent="0.2">
      <c r="A11" t="s">
        <v>299</v>
      </c>
    </row>
    <row r="12" spans="1:9" x14ac:dyDescent="0.2">
      <c r="C12" s="3" t="s">
        <v>0</v>
      </c>
      <c r="D12" s="3" t="s">
        <v>1</v>
      </c>
      <c r="E12" s="3" t="s">
        <v>7</v>
      </c>
      <c r="F12" s="3" t="s">
        <v>8</v>
      </c>
      <c r="G12" s="3" t="s">
        <v>9</v>
      </c>
      <c r="H12" s="3" t="s">
        <v>24</v>
      </c>
      <c r="I12" s="3" t="s">
        <v>25</v>
      </c>
    </row>
    <row r="13" spans="1:9" x14ac:dyDescent="0.2">
      <c r="A13" t="s">
        <v>300</v>
      </c>
      <c r="B13" s="5">
        <v>0</v>
      </c>
      <c r="C13" s="25">
        <v>0.9</v>
      </c>
      <c r="D13" s="25">
        <v>0.85</v>
      </c>
      <c r="E13" s="25">
        <v>0.8</v>
      </c>
      <c r="F13" s="25">
        <v>0.6</v>
      </c>
      <c r="G13" s="25">
        <v>0.6</v>
      </c>
      <c r="H13" s="25">
        <v>0.45</v>
      </c>
      <c r="I13" s="25">
        <v>0.5</v>
      </c>
    </row>
    <row r="14" spans="1:9" x14ac:dyDescent="0.2">
      <c r="A14" t="s">
        <v>301</v>
      </c>
      <c r="B14" s="5">
        <v>20</v>
      </c>
      <c r="C14" s="25">
        <v>0.1</v>
      </c>
      <c r="D14" s="25">
        <v>0.1</v>
      </c>
      <c r="E14" s="25">
        <v>0.15</v>
      </c>
      <c r="F14" s="25">
        <v>0.2</v>
      </c>
      <c r="G14" s="25">
        <v>0.2</v>
      </c>
      <c r="H14" s="25">
        <v>0.3</v>
      </c>
      <c r="I14" s="25">
        <v>0.3</v>
      </c>
    </row>
    <row r="15" spans="1:9" x14ac:dyDescent="0.2">
      <c r="A15" t="s">
        <v>302</v>
      </c>
      <c r="B15" s="5">
        <v>50</v>
      </c>
      <c r="C15" s="25">
        <v>0</v>
      </c>
      <c r="D15" s="25">
        <v>0.05</v>
      </c>
      <c r="E15" s="25">
        <v>0.05</v>
      </c>
      <c r="F15" s="25">
        <v>0.13</v>
      </c>
      <c r="G15" s="25">
        <v>0.13</v>
      </c>
      <c r="H15" s="25">
        <v>0.15</v>
      </c>
      <c r="I15" s="25">
        <v>0.15</v>
      </c>
    </row>
    <row r="16" spans="1:9" x14ac:dyDescent="0.2">
      <c r="A16" t="s">
        <v>303</v>
      </c>
      <c r="B16" s="5">
        <v>100</v>
      </c>
      <c r="C16" s="25">
        <v>0</v>
      </c>
      <c r="D16" s="25">
        <v>0</v>
      </c>
      <c r="E16" s="25">
        <v>0.05</v>
      </c>
      <c r="F16" s="25">
        <v>7.0000000000000007E-2</v>
      </c>
      <c r="G16" s="25">
        <v>7.0000000000000007E-2</v>
      </c>
      <c r="H16" s="25">
        <v>0.1</v>
      </c>
      <c r="I16" s="25">
        <v>0.1</v>
      </c>
    </row>
    <row r="18" spans="1:1" x14ac:dyDescent="0.2">
      <c r="A18" t="s">
        <v>300</v>
      </c>
    </row>
    <row r="19" spans="1:1" x14ac:dyDescent="0.2">
      <c r="A19" t="s">
        <v>286</v>
      </c>
    </row>
    <row r="20" spans="1:1" x14ac:dyDescent="0.2">
      <c r="A20" t="s">
        <v>287</v>
      </c>
    </row>
    <row r="21" spans="1:1" x14ac:dyDescent="0.2">
      <c r="A21" t="s">
        <v>283</v>
      </c>
    </row>
    <row r="22" spans="1:1" x14ac:dyDescent="0.2">
      <c r="A22" t="s">
        <v>288</v>
      </c>
    </row>
    <row r="23" spans="1:1" x14ac:dyDescent="0.2">
      <c r="A23" t="s">
        <v>289</v>
      </c>
    </row>
    <row r="24" spans="1:1" x14ac:dyDescent="0.2">
      <c r="A24" t="s">
        <v>282</v>
      </c>
    </row>
    <row r="25" spans="1:1" x14ac:dyDescent="0.2">
      <c r="A25" t="s">
        <v>285</v>
      </c>
    </row>
    <row r="26" spans="1:1" x14ac:dyDescent="0.2">
      <c r="A26" t="s">
        <v>283</v>
      </c>
    </row>
    <row r="27" spans="1:1" x14ac:dyDescent="0.2">
      <c r="A27" t="s">
        <v>284</v>
      </c>
    </row>
    <row r="29" spans="1:1" x14ac:dyDescent="0.2">
      <c r="A29" t="s">
        <v>264</v>
      </c>
    </row>
    <row r="30" spans="1:1" x14ac:dyDescent="0.2">
      <c r="A30" t="s">
        <v>281</v>
      </c>
    </row>
    <row r="35" spans="1:1" x14ac:dyDescent="0.2">
      <c r="A35" t="s">
        <v>278</v>
      </c>
    </row>
    <row r="37" spans="1:1" x14ac:dyDescent="0.2">
      <c r="A37" t="s">
        <v>279</v>
      </c>
    </row>
    <row r="38" spans="1:1" x14ac:dyDescent="0.2">
      <c r="A38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7A87-7656-9D42-B419-DE7996B029CD}">
  <sheetPr>
    <pageSetUpPr fitToPage="1"/>
  </sheetPr>
  <dimension ref="A1:CO21"/>
  <sheetViews>
    <sheetView workbookViewId="0">
      <pane xSplit="1" ySplit="2" topLeftCell="B4" activePane="bottomRight" state="frozen"/>
      <selection activeCell="E30" sqref="E30"/>
      <selection pane="topRight" activeCell="E30" sqref="E30"/>
      <selection pane="bottomLeft" activeCell="E30" sqref="E30"/>
      <selection pane="bottomRight" activeCell="D28" sqref="D28"/>
    </sheetView>
  </sheetViews>
  <sheetFormatPr baseColWidth="10" defaultRowHeight="16" x14ac:dyDescent="0.2"/>
  <cols>
    <col min="1" max="1" width="31.33203125" customWidth="1"/>
    <col min="2" max="5" width="14.83203125" style="12" customWidth="1"/>
    <col min="6" max="6" width="15.33203125" style="12" bestFit="1" customWidth="1"/>
    <col min="7" max="7" width="14.83203125" style="12" customWidth="1"/>
    <col min="8" max="8" width="15.33203125" style="12" bestFit="1" customWidth="1"/>
    <col min="9" max="9" width="2.33203125" style="12" customWidth="1"/>
    <col min="10" max="10" width="8.83203125" style="3" customWidth="1"/>
    <col min="11" max="11" width="8" style="3" bestFit="1" customWidth="1"/>
    <col min="12" max="24" width="8.83203125" style="3" customWidth="1"/>
    <col min="25" max="35" width="9.33203125" style="3" bestFit="1" customWidth="1"/>
    <col min="36" max="39" width="10.83203125" style="3" bestFit="1" customWidth="1"/>
    <col min="40" max="49" width="10.83203125" style="3" customWidth="1"/>
    <col min="50" max="59" width="11.83203125" style="3" bestFit="1" customWidth="1"/>
    <col min="60" max="80" width="12.83203125" style="3" bestFit="1" customWidth="1"/>
    <col min="81" max="81" width="14.33203125" style="3" bestFit="1" customWidth="1"/>
    <col min="82" max="92" width="12.83203125" style="3" bestFit="1" customWidth="1"/>
    <col min="93" max="93" width="14.33203125" style="3" bestFit="1" customWidth="1"/>
  </cols>
  <sheetData>
    <row r="1" spans="1:93" s="6" customFormat="1" x14ac:dyDescent="0.2">
      <c r="B1" s="2">
        <v>2024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  <c r="I1" s="7"/>
      <c r="J1" s="6">
        <f>' Inputs'!B3</f>
        <v>45292</v>
      </c>
      <c r="K1" s="6">
        <f>J1+31</f>
        <v>45323</v>
      </c>
      <c r="L1" s="6">
        <f t="shared" ref="L1:BW1" si="0">K1+31</f>
        <v>45354</v>
      </c>
      <c r="M1" s="6">
        <f t="shared" si="0"/>
        <v>45385</v>
      </c>
      <c r="N1" s="6">
        <f t="shared" si="0"/>
        <v>45416</v>
      </c>
      <c r="O1" s="6">
        <f t="shared" si="0"/>
        <v>45447</v>
      </c>
      <c r="P1" s="6">
        <f t="shared" si="0"/>
        <v>45478</v>
      </c>
      <c r="Q1" s="6">
        <f t="shared" si="0"/>
        <v>45509</v>
      </c>
      <c r="R1" s="6">
        <f t="shared" si="0"/>
        <v>45540</v>
      </c>
      <c r="S1" s="6">
        <f t="shared" si="0"/>
        <v>45571</v>
      </c>
      <c r="T1" s="6">
        <f t="shared" si="0"/>
        <v>45602</v>
      </c>
      <c r="U1" s="6">
        <f t="shared" si="0"/>
        <v>45633</v>
      </c>
      <c r="V1" s="6">
        <f t="shared" si="0"/>
        <v>45664</v>
      </c>
      <c r="W1" s="6">
        <f t="shared" si="0"/>
        <v>45695</v>
      </c>
      <c r="X1" s="6">
        <f t="shared" si="0"/>
        <v>45726</v>
      </c>
      <c r="Y1" s="6">
        <f t="shared" si="0"/>
        <v>45757</v>
      </c>
      <c r="Z1" s="6">
        <f t="shared" si="0"/>
        <v>45788</v>
      </c>
      <c r="AA1" s="6">
        <f t="shared" si="0"/>
        <v>45819</v>
      </c>
      <c r="AB1" s="6">
        <f t="shared" si="0"/>
        <v>45850</v>
      </c>
      <c r="AC1" s="6">
        <f t="shared" si="0"/>
        <v>45881</v>
      </c>
      <c r="AD1" s="6">
        <f t="shared" si="0"/>
        <v>45912</v>
      </c>
      <c r="AE1" s="6">
        <f t="shared" si="0"/>
        <v>45943</v>
      </c>
      <c r="AF1" s="6">
        <f t="shared" si="0"/>
        <v>45974</v>
      </c>
      <c r="AG1" s="6">
        <f t="shared" si="0"/>
        <v>46005</v>
      </c>
      <c r="AH1" s="6">
        <f t="shared" si="0"/>
        <v>46036</v>
      </c>
      <c r="AI1" s="6">
        <f t="shared" si="0"/>
        <v>46067</v>
      </c>
      <c r="AJ1" s="6">
        <f t="shared" si="0"/>
        <v>46098</v>
      </c>
      <c r="AK1" s="6">
        <f t="shared" si="0"/>
        <v>46129</v>
      </c>
      <c r="AL1" s="6">
        <f t="shared" si="0"/>
        <v>46160</v>
      </c>
      <c r="AM1" s="6">
        <f t="shared" si="0"/>
        <v>46191</v>
      </c>
      <c r="AN1" s="6">
        <f t="shared" si="0"/>
        <v>46222</v>
      </c>
      <c r="AO1" s="6">
        <f t="shared" si="0"/>
        <v>46253</v>
      </c>
      <c r="AP1" s="6">
        <f t="shared" si="0"/>
        <v>46284</v>
      </c>
      <c r="AQ1" s="6">
        <f t="shared" si="0"/>
        <v>46315</v>
      </c>
      <c r="AR1" s="6">
        <f t="shared" si="0"/>
        <v>46346</v>
      </c>
      <c r="AS1" s="6">
        <f t="shared" si="0"/>
        <v>46377</v>
      </c>
      <c r="AT1" s="6">
        <f t="shared" si="0"/>
        <v>46408</v>
      </c>
      <c r="AU1" s="6">
        <f t="shared" si="0"/>
        <v>46439</v>
      </c>
      <c r="AV1" s="6">
        <f t="shared" si="0"/>
        <v>46470</v>
      </c>
      <c r="AW1" s="6">
        <f t="shared" si="0"/>
        <v>46501</v>
      </c>
      <c r="AX1" s="6">
        <f t="shared" si="0"/>
        <v>46532</v>
      </c>
      <c r="AY1" s="6">
        <f t="shared" si="0"/>
        <v>46563</v>
      </c>
      <c r="AZ1" s="6">
        <f t="shared" si="0"/>
        <v>46594</v>
      </c>
      <c r="BA1" s="6">
        <f t="shared" si="0"/>
        <v>46625</v>
      </c>
      <c r="BB1" s="6">
        <f t="shared" si="0"/>
        <v>46656</v>
      </c>
      <c r="BC1" s="6">
        <f t="shared" si="0"/>
        <v>46687</v>
      </c>
      <c r="BD1" s="6">
        <f t="shared" si="0"/>
        <v>46718</v>
      </c>
      <c r="BE1" s="6">
        <f t="shared" si="0"/>
        <v>46749</v>
      </c>
      <c r="BF1" s="6">
        <f t="shared" si="0"/>
        <v>46780</v>
      </c>
      <c r="BG1" s="6">
        <f t="shared" si="0"/>
        <v>46811</v>
      </c>
      <c r="BH1" s="6">
        <f t="shared" si="0"/>
        <v>46842</v>
      </c>
      <c r="BI1" s="6">
        <f t="shared" si="0"/>
        <v>46873</v>
      </c>
      <c r="BJ1" s="6">
        <f t="shared" si="0"/>
        <v>46904</v>
      </c>
      <c r="BK1" s="6">
        <f t="shared" si="0"/>
        <v>46935</v>
      </c>
      <c r="BL1" s="6">
        <f t="shared" si="0"/>
        <v>46966</v>
      </c>
      <c r="BM1" s="6">
        <f t="shared" si="0"/>
        <v>46997</v>
      </c>
      <c r="BN1" s="6">
        <f t="shared" si="0"/>
        <v>47028</v>
      </c>
      <c r="BO1" s="6">
        <f t="shared" si="0"/>
        <v>47059</v>
      </c>
      <c r="BP1" s="6">
        <f t="shared" si="0"/>
        <v>47090</v>
      </c>
      <c r="BQ1" s="6">
        <f t="shared" si="0"/>
        <v>47121</v>
      </c>
      <c r="BR1" s="6">
        <f t="shared" si="0"/>
        <v>47152</v>
      </c>
      <c r="BS1" s="6">
        <f t="shared" si="0"/>
        <v>47183</v>
      </c>
      <c r="BT1" s="6">
        <f t="shared" si="0"/>
        <v>47214</v>
      </c>
      <c r="BU1" s="6">
        <f t="shared" si="0"/>
        <v>47245</v>
      </c>
      <c r="BV1" s="6">
        <f t="shared" si="0"/>
        <v>47276</v>
      </c>
      <c r="BW1" s="6">
        <f t="shared" si="0"/>
        <v>47307</v>
      </c>
      <c r="BX1" s="6">
        <f t="shared" ref="BX1:CO1" si="1">BW1+31</f>
        <v>47338</v>
      </c>
      <c r="BY1" s="6">
        <f t="shared" si="1"/>
        <v>47369</v>
      </c>
      <c r="BZ1" s="6">
        <f t="shared" si="1"/>
        <v>47400</v>
      </c>
      <c r="CA1" s="6">
        <f t="shared" si="1"/>
        <v>47431</v>
      </c>
      <c r="CB1" s="6">
        <f t="shared" si="1"/>
        <v>47462</v>
      </c>
      <c r="CC1" s="6">
        <f t="shared" si="1"/>
        <v>47493</v>
      </c>
      <c r="CD1" s="6">
        <f t="shared" si="1"/>
        <v>47524</v>
      </c>
      <c r="CE1" s="6">
        <f t="shared" si="1"/>
        <v>47555</v>
      </c>
      <c r="CF1" s="6">
        <f t="shared" si="1"/>
        <v>47586</v>
      </c>
      <c r="CG1" s="6">
        <f t="shared" si="1"/>
        <v>47617</v>
      </c>
      <c r="CH1" s="6">
        <f t="shared" si="1"/>
        <v>47648</v>
      </c>
      <c r="CI1" s="6">
        <f t="shared" si="1"/>
        <v>47679</v>
      </c>
      <c r="CJ1" s="6">
        <f t="shared" si="1"/>
        <v>47710</v>
      </c>
      <c r="CK1" s="6">
        <f t="shared" si="1"/>
        <v>47741</v>
      </c>
      <c r="CL1" s="6">
        <f t="shared" si="1"/>
        <v>47772</v>
      </c>
      <c r="CM1" s="6">
        <f t="shared" si="1"/>
        <v>47803</v>
      </c>
      <c r="CN1" s="6">
        <f t="shared" si="1"/>
        <v>47834</v>
      </c>
      <c r="CO1" s="6">
        <f t="shared" si="1"/>
        <v>47865</v>
      </c>
    </row>
    <row r="2" spans="1:93" s="1" customFormat="1" x14ac:dyDescent="0.2">
      <c r="B2" s="21" t="s">
        <v>0</v>
      </c>
      <c r="C2" s="7" t="s">
        <v>1</v>
      </c>
      <c r="D2" s="21" t="s">
        <v>7</v>
      </c>
      <c r="E2" s="7" t="s">
        <v>8</v>
      </c>
      <c r="F2" s="21" t="s">
        <v>9</v>
      </c>
      <c r="G2" s="21" t="s">
        <v>24</v>
      </c>
      <c r="H2" s="21" t="s">
        <v>25</v>
      </c>
      <c r="I2" s="7"/>
      <c r="J2" s="2" t="str">
        <f t="shared" ref="J2:BU2" si="2">CONCATENATE("Month ", J3)</f>
        <v>Month 1</v>
      </c>
      <c r="K2" s="2" t="str">
        <f t="shared" si="2"/>
        <v>Month 2</v>
      </c>
      <c r="L2" s="2" t="str">
        <f t="shared" si="2"/>
        <v>Month 3</v>
      </c>
      <c r="M2" s="2" t="str">
        <f t="shared" si="2"/>
        <v>Month 4</v>
      </c>
      <c r="N2" s="2" t="str">
        <f t="shared" si="2"/>
        <v>Month 5</v>
      </c>
      <c r="O2" s="2" t="str">
        <f t="shared" si="2"/>
        <v>Month 6</v>
      </c>
      <c r="P2" s="2" t="str">
        <f t="shared" si="2"/>
        <v>Month 7</v>
      </c>
      <c r="Q2" s="2" t="str">
        <f t="shared" si="2"/>
        <v>Month 8</v>
      </c>
      <c r="R2" s="2" t="str">
        <f t="shared" si="2"/>
        <v>Month 9</v>
      </c>
      <c r="S2" s="2" t="str">
        <f t="shared" si="2"/>
        <v>Month 10</v>
      </c>
      <c r="T2" s="2" t="str">
        <f t="shared" si="2"/>
        <v>Month 11</v>
      </c>
      <c r="U2" s="2" t="str">
        <f t="shared" si="2"/>
        <v>Month 12</v>
      </c>
      <c r="V2" s="2" t="str">
        <f t="shared" si="2"/>
        <v>Month 13</v>
      </c>
      <c r="W2" s="2" t="str">
        <f t="shared" si="2"/>
        <v>Month 14</v>
      </c>
      <c r="X2" s="2" t="str">
        <f t="shared" si="2"/>
        <v>Month 15</v>
      </c>
      <c r="Y2" s="2" t="str">
        <f t="shared" si="2"/>
        <v>Month 16</v>
      </c>
      <c r="Z2" s="2" t="str">
        <f t="shared" si="2"/>
        <v>Month 17</v>
      </c>
      <c r="AA2" s="2" t="str">
        <f t="shared" si="2"/>
        <v>Month 18</v>
      </c>
      <c r="AB2" s="2" t="str">
        <f t="shared" si="2"/>
        <v>Month 19</v>
      </c>
      <c r="AC2" s="2" t="str">
        <f t="shared" si="2"/>
        <v>Month 20</v>
      </c>
      <c r="AD2" s="2" t="str">
        <f t="shared" si="2"/>
        <v>Month 21</v>
      </c>
      <c r="AE2" s="2" t="str">
        <f t="shared" si="2"/>
        <v>Month 22</v>
      </c>
      <c r="AF2" s="2" t="str">
        <f t="shared" si="2"/>
        <v>Month 23</v>
      </c>
      <c r="AG2" s="2" t="str">
        <f t="shared" si="2"/>
        <v>Month 24</v>
      </c>
      <c r="AH2" s="2" t="str">
        <f t="shared" si="2"/>
        <v>Month 25</v>
      </c>
      <c r="AI2" s="2" t="str">
        <f t="shared" si="2"/>
        <v>Month 26</v>
      </c>
      <c r="AJ2" s="2" t="str">
        <f t="shared" si="2"/>
        <v>Month 27</v>
      </c>
      <c r="AK2" s="2" t="str">
        <f t="shared" si="2"/>
        <v>Month 28</v>
      </c>
      <c r="AL2" s="2" t="str">
        <f t="shared" si="2"/>
        <v>Month 29</v>
      </c>
      <c r="AM2" s="2" t="str">
        <f t="shared" si="2"/>
        <v>Month 30</v>
      </c>
      <c r="AN2" s="2" t="str">
        <f t="shared" si="2"/>
        <v>Month 31</v>
      </c>
      <c r="AO2" s="2" t="str">
        <f t="shared" si="2"/>
        <v>Month 32</v>
      </c>
      <c r="AP2" s="2" t="str">
        <f t="shared" si="2"/>
        <v>Month 33</v>
      </c>
      <c r="AQ2" s="2" t="str">
        <f t="shared" si="2"/>
        <v>Month 34</v>
      </c>
      <c r="AR2" s="2" t="str">
        <f t="shared" si="2"/>
        <v>Month 35</v>
      </c>
      <c r="AS2" s="2" t="str">
        <f t="shared" si="2"/>
        <v>Month 36</v>
      </c>
      <c r="AT2" s="2" t="str">
        <f t="shared" si="2"/>
        <v>Month 37</v>
      </c>
      <c r="AU2" s="2" t="str">
        <f t="shared" si="2"/>
        <v>Month 38</v>
      </c>
      <c r="AV2" s="2" t="str">
        <f t="shared" si="2"/>
        <v>Month 39</v>
      </c>
      <c r="AW2" s="2" t="str">
        <f t="shared" si="2"/>
        <v>Month 40</v>
      </c>
      <c r="AX2" s="2" t="str">
        <f t="shared" si="2"/>
        <v>Month 41</v>
      </c>
      <c r="AY2" s="2" t="str">
        <f t="shared" si="2"/>
        <v>Month 42</v>
      </c>
      <c r="AZ2" s="2" t="str">
        <f t="shared" si="2"/>
        <v>Month 43</v>
      </c>
      <c r="BA2" s="2" t="str">
        <f t="shared" si="2"/>
        <v>Month 44</v>
      </c>
      <c r="BB2" s="2" t="str">
        <f t="shared" si="2"/>
        <v>Month 45</v>
      </c>
      <c r="BC2" s="2" t="str">
        <f t="shared" si="2"/>
        <v>Month 46</v>
      </c>
      <c r="BD2" s="2" t="str">
        <f t="shared" si="2"/>
        <v>Month 47</v>
      </c>
      <c r="BE2" s="2" t="str">
        <f t="shared" si="2"/>
        <v>Month 48</v>
      </c>
      <c r="BF2" s="2" t="str">
        <f t="shared" si="2"/>
        <v>Month 49</v>
      </c>
      <c r="BG2" s="2" t="str">
        <f t="shared" si="2"/>
        <v>Month 50</v>
      </c>
      <c r="BH2" s="2" t="str">
        <f t="shared" si="2"/>
        <v>Month 51</v>
      </c>
      <c r="BI2" s="2" t="str">
        <f t="shared" si="2"/>
        <v>Month 52</v>
      </c>
      <c r="BJ2" s="2" t="str">
        <f t="shared" si="2"/>
        <v>Month 53</v>
      </c>
      <c r="BK2" s="2" t="str">
        <f t="shared" si="2"/>
        <v>Month 54</v>
      </c>
      <c r="BL2" s="2" t="str">
        <f t="shared" si="2"/>
        <v>Month 55</v>
      </c>
      <c r="BM2" s="2" t="str">
        <f t="shared" si="2"/>
        <v>Month 56</v>
      </c>
      <c r="BN2" s="2" t="str">
        <f t="shared" si="2"/>
        <v>Month 57</v>
      </c>
      <c r="BO2" s="2" t="str">
        <f t="shared" si="2"/>
        <v>Month 58</v>
      </c>
      <c r="BP2" s="2" t="str">
        <f t="shared" si="2"/>
        <v>Month 59</v>
      </c>
      <c r="BQ2" s="2" t="str">
        <f t="shared" si="2"/>
        <v>Month 60</v>
      </c>
      <c r="BR2" s="2" t="str">
        <f t="shared" si="2"/>
        <v>Month 61</v>
      </c>
      <c r="BS2" s="2" t="str">
        <f t="shared" si="2"/>
        <v>Month 62</v>
      </c>
      <c r="BT2" s="2" t="str">
        <f t="shared" si="2"/>
        <v>Month 63</v>
      </c>
      <c r="BU2" s="2" t="str">
        <f t="shared" si="2"/>
        <v>Month 64</v>
      </c>
      <c r="BV2" s="2" t="str">
        <f t="shared" ref="BV2:CO2" si="3">CONCATENATE("Month ", BV3)</f>
        <v>Month 65</v>
      </c>
      <c r="BW2" s="2" t="str">
        <f t="shared" si="3"/>
        <v>Month 66</v>
      </c>
      <c r="BX2" s="2" t="str">
        <f t="shared" si="3"/>
        <v>Month 67</v>
      </c>
      <c r="BY2" s="2" t="str">
        <f t="shared" si="3"/>
        <v>Month 68</v>
      </c>
      <c r="BZ2" s="2" t="str">
        <f t="shared" si="3"/>
        <v>Month 69</v>
      </c>
      <c r="CA2" s="2" t="str">
        <f t="shared" si="3"/>
        <v>Month 70</v>
      </c>
      <c r="CB2" s="2" t="str">
        <f t="shared" si="3"/>
        <v>Month 71</v>
      </c>
      <c r="CC2" s="2" t="str">
        <f t="shared" si="3"/>
        <v>Month 72</v>
      </c>
      <c r="CD2" s="2" t="str">
        <f t="shared" si="3"/>
        <v>Month 73</v>
      </c>
      <c r="CE2" s="2" t="str">
        <f t="shared" si="3"/>
        <v>Month 74</v>
      </c>
      <c r="CF2" s="2" t="str">
        <f t="shared" si="3"/>
        <v>Month 75</v>
      </c>
      <c r="CG2" s="2" t="str">
        <f t="shared" si="3"/>
        <v>Month 76</v>
      </c>
      <c r="CH2" s="2" t="str">
        <f t="shared" si="3"/>
        <v>Month 77</v>
      </c>
      <c r="CI2" s="2" t="str">
        <f t="shared" si="3"/>
        <v>Month 78</v>
      </c>
      <c r="CJ2" s="2" t="str">
        <f t="shared" si="3"/>
        <v>Month 79</v>
      </c>
      <c r="CK2" s="2" t="str">
        <f t="shared" si="3"/>
        <v>Month 80</v>
      </c>
      <c r="CL2" s="2" t="str">
        <f t="shared" si="3"/>
        <v>Month 81</v>
      </c>
      <c r="CM2" s="2" t="str">
        <f t="shared" si="3"/>
        <v>Month 82</v>
      </c>
      <c r="CN2" s="2" t="str">
        <f t="shared" si="3"/>
        <v>Month 83</v>
      </c>
      <c r="CO2" s="2" t="str">
        <f t="shared" si="3"/>
        <v>Month 84</v>
      </c>
    </row>
    <row r="3" spans="1:93" s="9" customFormat="1" hidden="1" x14ac:dyDescent="0.2">
      <c r="B3" s="7"/>
      <c r="C3" s="7"/>
      <c r="D3" s="7"/>
      <c r="E3" s="7"/>
      <c r="F3" s="7"/>
      <c r="G3" s="7"/>
      <c r="H3" s="7"/>
      <c r="I3" s="7"/>
      <c r="J3" s="10">
        <v>1</v>
      </c>
      <c r="K3" s="10">
        <v>2</v>
      </c>
      <c r="L3" s="10">
        <v>3</v>
      </c>
      <c r="M3" s="10">
        <v>4</v>
      </c>
      <c r="N3" s="10">
        <v>5</v>
      </c>
      <c r="O3" s="10">
        <v>6</v>
      </c>
      <c r="P3" s="10">
        <v>7</v>
      </c>
      <c r="Q3" s="10">
        <v>8</v>
      </c>
      <c r="R3" s="10">
        <v>9</v>
      </c>
      <c r="S3" s="10">
        <v>10</v>
      </c>
      <c r="T3" s="10">
        <v>11</v>
      </c>
      <c r="U3" s="10">
        <v>12</v>
      </c>
      <c r="V3" s="10">
        <v>13</v>
      </c>
      <c r="W3" s="10">
        <v>14</v>
      </c>
      <c r="X3" s="10">
        <v>15</v>
      </c>
      <c r="Y3" s="10">
        <v>16</v>
      </c>
      <c r="Z3" s="10">
        <v>17</v>
      </c>
      <c r="AA3" s="10">
        <v>18</v>
      </c>
      <c r="AB3" s="10">
        <v>19</v>
      </c>
      <c r="AC3" s="10">
        <v>20</v>
      </c>
      <c r="AD3" s="10">
        <v>21</v>
      </c>
      <c r="AE3" s="10">
        <v>22</v>
      </c>
      <c r="AF3" s="10">
        <v>23</v>
      </c>
      <c r="AG3" s="10">
        <v>24</v>
      </c>
      <c r="AH3" s="10">
        <v>25</v>
      </c>
      <c r="AI3" s="10">
        <v>26</v>
      </c>
      <c r="AJ3" s="10">
        <v>27</v>
      </c>
      <c r="AK3" s="10">
        <v>28</v>
      </c>
      <c r="AL3" s="10">
        <v>29</v>
      </c>
      <c r="AM3" s="10">
        <v>30</v>
      </c>
      <c r="AN3" s="10">
        <v>31</v>
      </c>
      <c r="AO3" s="10">
        <v>32</v>
      </c>
      <c r="AP3" s="10">
        <v>33</v>
      </c>
      <c r="AQ3" s="10">
        <v>34</v>
      </c>
      <c r="AR3" s="10">
        <v>35</v>
      </c>
      <c r="AS3" s="10">
        <v>36</v>
      </c>
      <c r="AT3" s="10">
        <v>37</v>
      </c>
      <c r="AU3" s="10">
        <v>38</v>
      </c>
      <c r="AV3" s="10">
        <v>39</v>
      </c>
      <c r="AW3" s="10">
        <v>40</v>
      </c>
      <c r="AX3" s="10">
        <v>41</v>
      </c>
      <c r="AY3" s="10">
        <v>42</v>
      </c>
      <c r="AZ3" s="10">
        <v>43</v>
      </c>
      <c r="BA3" s="10">
        <v>44</v>
      </c>
      <c r="BB3" s="10">
        <v>45</v>
      </c>
      <c r="BC3" s="10">
        <v>46</v>
      </c>
      <c r="BD3" s="10">
        <v>47</v>
      </c>
      <c r="BE3" s="10">
        <v>48</v>
      </c>
      <c r="BF3" s="10">
        <v>49</v>
      </c>
      <c r="BG3" s="10">
        <v>50</v>
      </c>
      <c r="BH3" s="10">
        <v>51</v>
      </c>
      <c r="BI3" s="10">
        <v>52</v>
      </c>
      <c r="BJ3" s="10">
        <v>53</v>
      </c>
      <c r="BK3" s="10">
        <v>54</v>
      </c>
      <c r="BL3" s="10">
        <v>55</v>
      </c>
      <c r="BM3" s="10">
        <v>56</v>
      </c>
      <c r="BN3" s="10">
        <v>57</v>
      </c>
      <c r="BO3" s="10">
        <v>58</v>
      </c>
      <c r="BP3" s="10">
        <v>59</v>
      </c>
      <c r="BQ3" s="10">
        <v>60</v>
      </c>
      <c r="BR3" s="10">
        <v>61</v>
      </c>
      <c r="BS3" s="10">
        <v>62</v>
      </c>
      <c r="BT3" s="10">
        <v>63</v>
      </c>
      <c r="BU3" s="10">
        <v>64</v>
      </c>
      <c r="BV3" s="10">
        <v>65</v>
      </c>
      <c r="BW3" s="10">
        <v>66</v>
      </c>
      <c r="BX3" s="10">
        <v>67</v>
      </c>
      <c r="BY3" s="10">
        <v>68</v>
      </c>
      <c r="BZ3" s="10">
        <v>69</v>
      </c>
      <c r="CA3" s="10">
        <v>70</v>
      </c>
      <c r="CB3" s="10">
        <v>71</v>
      </c>
      <c r="CC3" s="10">
        <v>72</v>
      </c>
      <c r="CD3" s="10">
        <v>73</v>
      </c>
      <c r="CE3" s="10">
        <v>74</v>
      </c>
      <c r="CF3" s="10">
        <v>75</v>
      </c>
      <c r="CG3" s="10">
        <v>76</v>
      </c>
      <c r="CH3" s="10">
        <v>77</v>
      </c>
      <c r="CI3" s="10">
        <v>78</v>
      </c>
      <c r="CJ3" s="10">
        <v>79</v>
      </c>
      <c r="CK3" s="10">
        <v>80</v>
      </c>
      <c r="CL3" s="10">
        <v>81</v>
      </c>
      <c r="CM3" s="10">
        <v>82</v>
      </c>
      <c r="CN3" s="10">
        <v>83</v>
      </c>
      <c r="CO3" s="10">
        <v>84</v>
      </c>
    </row>
    <row r="4" spans="1:93" s="70" customFormat="1" x14ac:dyDescent="0.2">
      <c r="A4" s="71" t="s">
        <v>229</v>
      </c>
      <c r="B4" s="68"/>
      <c r="C4" s="68"/>
      <c r="D4" s="68"/>
      <c r="E4" s="68"/>
      <c r="F4" s="68"/>
      <c r="G4" s="68"/>
      <c r="H4" s="68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</row>
    <row r="5" spans="1:93" s="11" customFormat="1" x14ac:dyDescent="0.2">
      <c r="A5" s="20" t="s">
        <v>17</v>
      </c>
      <c r="B5" s="14"/>
      <c r="C5" s="14"/>
      <c r="D5" s="14"/>
      <c r="E5" s="14"/>
      <c r="F5" s="14"/>
      <c r="G5" s="14"/>
      <c r="H5" s="14"/>
      <c r="I5" s="12"/>
      <c r="J5" s="3"/>
      <c r="K5"/>
      <c r="L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</row>
    <row r="6" spans="1:93" s="11" customFormat="1" x14ac:dyDescent="0.2">
      <c r="A6" s="11" t="s">
        <v>85</v>
      </c>
      <c r="B6" s="5">
        <f>' Inputs'!K19</f>
        <v>0</v>
      </c>
      <c r="C6" s="5">
        <f>' Inputs'!L19</f>
        <v>0</v>
      </c>
      <c r="D6" s="5">
        <f>' Inputs'!M19</f>
        <v>0</v>
      </c>
      <c r="E6" s="5">
        <f>' Inputs'!N19</f>
        <v>0</v>
      </c>
      <c r="F6" s="5">
        <f>' Inputs'!O19</f>
        <v>0</v>
      </c>
      <c r="G6" s="5">
        <f>' Inputs'!P19</f>
        <v>0</v>
      </c>
      <c r="H6" s="5">
        <f>' Inputs'!Q19</f>
        <v>0</v>
      </c>
      <c r="I6" s="12"/>
      <c r="J6" s="5">
        <f>' Inputs'!$K$19</f>
        <v>0</v>
      </c>
      <c r="K6" s="5">
        <f>' Inputs'!$K$19</f>
        <v>0</v>
      </c>
      <c r="L6" s="5">
        <f>' Inputs'!$K$19</f>
        <v>0</v>
      </c>
      <c r="M6" s="5">
        <f>' Inputs'!$K$19</f>
        <v>0</v>
      </c>
      <c r="N6" s="5">
        <f>' Inputs'!$K$19</f>
        <v>0</v>
      </c>
      <c r="O6" s="5">
        <f>' Inputs'!$K$19</f>
        <v>0</v>
      </c>
      <c r="P6" s="5">
        <f>' Inputs'!$K$19</f>
        <v>0</v>
      </c>
      <c r="Q6" s="5">
        <f>' Inputs'!$K$19</f>
        <v>0</v>
      </c>
      <c r="R6" s="5">
        <f>' Inputs'!$K$19</f>
        <v>0</v>
      </c>
      <c r="S6" s="5">
        <f>' Inputs'!$K$19</f>
        <v>0</v>
      </c>
      <c r="T6" s="5">
        <f>' Inputs'!$K$19</f>
        <v>0</v>
      </c>
      <c r="U6" s="5">
        <f>' Inputs'!$K$19</f>
        <v>0</v>
      </c>
      <c r="V6" s="5">
        <f>' Inputs'!$L$19</f>
        <v>0</v>
      </c>
      <c r="W6" s="5">
        <f>' Inputs'!$L$19</f>
        <v>0</v>
      </c>
      <c r="X6" s="5">
        <f>' Inputs'!$L$19</f>
        <v>0</v>
      </c>
      <c r="Y6" s="5">
        <f>' Inputs'!$L$19</f>
        <v>0</v>
      </c>
      <c r="Z6" s="5">
        <f>' Inputs'!$L$19</f>
        <v>0</v>
      </c>
      <c r="AA6" s="5">
        <f>' Inputs'!$L$19</f>
        <v>0</v>
      </c>
      <c r="AB6" s="5">
        <f>' Inputs'!$L$19</f>
        <v>0</v>
      </c>
      <c r="AC6" s="5">
        <f>' Inputs'!$L$19</f>
        <v>0</v>
      </c>
      <c r="AD6" s="5">
        <f>' Inputs'!$L$19</f>
        <v>0</v>
      </c>
      <c r="AE6" s="5">
        <f>' Inputs'!$L$19</f>
        <v>0</v>
      </c>
      <c r="AF6" s="5">
        <f>' Inputs'!$L$19</f>
        <v>0</v>
      </c>
      <c r="AG6" s="5">
        <f>' Inputs'!$L$19</f>
        <v>0</v>
      </c>
      <c r="AH6" s="5">
        <f>' Inputs'!$M$19</f>
        <v>0</v>
      </c>
      <c r="AI6" s="5">
        <f>' Inputs'!$M$19</f>
        <v>0</v>
      </c>
      <c r="AJ6" s="5">
        <f>' Inputs'!$M$19</f>
        <v>0</v>
      </c>
      <c r="AK6" s="5">
        <f>' Inputs'!$M$19</f>
        <v>0</v>
      </c>
      <c r="AL6" s="5">
        <f>' Inputs'!$M$19</f>
        <v>0</v>
      </c>
      <c r="AM6" s="5">
        <f>' Inputs'!$M$19</f>
        <v>0</v>
      </c>
      <c r="AN6" s="5">
        <f>' Inputs'!$M$19</f>
        <v>0</v>
      </c>
      <c r="AO6" s="5">
        <f>' Inputs'!$M$19</f>
        <v>0</v>
      </c>
      <c r="AP6" s="5">
        <f>' Inputs'!$M$19</f>
        <v>0</v>
      </c>
      <c r="AQ6" s="5">
        <f>' Inputs'!$M$19</f>
        <v>0</v>
      </c>
      <c r="AR6" s="5">
        <f>' Inputs'!$M$19</f>
        <v>0</v>
      </c>
      <c r="AS6" s="5">
        <f>' Inputs'!$M$19</f>
        <v>0</v>
      </c>
      <c r="AT6" s="5">
        <f>' Inputs'!$N$19</f>
        <v>0</v>
      </c>
      <c r="AU6" s="5">
        <f>' Inputs'!$N$19</f>
        <v>0</v>
      </c>
      <c r="AV6" s="5">
        <f>' Inputs'!$N$19</f>
        <v>0</v>
      </c>
      <c r="AW6" s="5">
        <f>' Inputs'!$N$19</f>
        <v>0</v>
      </c>
      <c r="AX6" s="5">
        <f>' Inputs'!$N$19</f>
        <v>0</v>
      </c>
      <c r="AY6" s="5">
        <f>' Inputs'!$N$19</f>
        <v>0</v>
      </c>
      <c r="AZ6" s="5">
        <f>' Inputs'!$N$19</f>
        <v>0</v>
      </c>
      <c r="BA6" s="5">
        <f>' Inputs'!$N$19</f>
        <v>0</v>
      </c>
      <c r="BB6" s="5">
        <f>' Inputs'!$N$19</f>
        <v>0</v>
      </c>
      <c r="BC6" s="5">
        <f>' Inputs'!$N$19</f>
        <v>0</v>
      </c>
      <c r="BD6" s="5">
        <f>' Inputs'!$N$19</f>
        <v>0</v>
      </c>
      <c r="BE6" s="5">
        <f>' Inputs'!$N$19</f>
        <v>0</v>
      </c>
      <c r="BF6" s="5">
        <f>' Inputs'!$O$19</f>
        <v>0</v>
      </c>
      <c r="BG6" s="5">
        <f>' Inputs'!$O$19</f>
        <v>0</v>
      </c>
      <c r="BH6" s="5">
        <f>' Inputs'!$O$19</f>
        <v>0</v>
      </c>
      <c r="BI6" s="5">
        <f>' Inputs'!$O$19</f>
        <v>0</v>
      </c>
      <c r="BJ6" s="5">
        <f>' Inputs'!$O$19</f>
        <v>0</v>
      </c>
      <c r="BK6" s="5">
        <f>' Inputs'!$O$19</f>
        <v>0</v>
      </c>
      <c r="BL6" s="5">
        <f>' Inputs'!$O$19</f>
        <v>0</v>
      </c>
      <c r="BM6" s="5">
        <f>' Inputs'!$O$19</f>
        <v>0</v>
      </c>
      <c r="BN6" s="5">
        <f>' Inputs'!$O$19</f>
        <v>0</v>
      </c>
      <c r="BO6" s="5">
        <f>' Inputs'!$O$19</f>
        <v>0</v>
      </c>
      <c r="BP6" s="5">
        <f>' Inputs'!$O$19</f>
        <v>0</v>
      </c>
      <c r="BQ6" s="5">
        <f>' Inputs'!$O$19</f>
        <v>0</v>
      </c>
      <c r="BR6" s="5">
        <f>' Inputs'!$O$19</f>
        <v>0</v>
      </c>
      <c r="BS6" s="5">
        <f>' Inputs'!$O$19</f>
        <v>0</v>
      </c>
      <c r="BT6" s="5">
        <f>' Inputs'!$O$19</f>
        <v>0</v>
      </c>
      <c r="BU6" s="5">
        <f>' Inputs'!$O$19</f>
        <v>0</v>
      </c>
      <c r="BV6" s="5">
        <f>' Inputs'!$O$19</f>
        <v>0</v>
      </c>
      <c r="BW6" s="5">
        <f>' Inputs'!$O$19</f>
        <v>0</v>
      </c>
      <c r="BX6" s="5">
        <f>' Inputs'!$O$19</f>
        <v>0</v>
      </c>
      <c r="BY6" s="5">
        <f>' Inputs'!$O$19</f>
        <v>0</v>
      </c>
      <c r="BZ6" s="5">
        <f>' Inputs'!$O$19</f>
        <v>0</v>
      </c>
      <c r="CA6" s="5">
        <f>' Inputs'!$O$19</f>
        <v>0</v>
      </c>
      <c r="CB6" s="5">
        <f>' Inputs'!$O$19</f>
        <v>0</v>
      </c>
      <c r="CC6" s="5">
        <f>' Inputs'!$O$19</f>
        <v>0</v>
      </c>
      <c r="CD6" s="5">
        <f>' Inputs'!$O$19</f>
        <v>0</v>
      </c>
      <c r="CE6" s="5">
        <f>' Inputs'!$O$19</f>
        <v>0</v>
      </c>
      <c r="CF6" s="5">
        <f>' Inputs'!$O$19</f>
        <v>0</v>
      </c>
      <c r="CG6" s="5">
        <f>' Inputs'!$O$19</f>
        <v>0</v>
      </c>
      <c r="CH6" s="5">
        <f>' Inputs'!$O$19</f>
        <v>0</v>
      </c>
      <c r="CI6" s="5">
        <f>' Inputs'!$O$19</f>
        <v>0</v>
      </c>
      <c r="CJ6" s="5">
        <f>' Inputs'!$O$19</f>
        <v>0</v>
      </c>
      <c r="CK6" s="5">
        <f>' Inputs'!$O$19</f>
        <v>0</v>
      </c>
      <c r="CL6" s="5">
        <f>' Inputs'!$O$19</f>
        <v>0</v>
      </c>
      <c r="CM6" s="5">
        <f>' Inputs'!$O$19</f>
        <v>0</v>
      </c>
      <c r="CN6" s="5">
        <f>' Inputs'!$O$19</f>
        <v>0</v>
      </c>
      <c r="CO6" s="5">
        <f>' Inputs'!$O$19</f>
        <v>0</v>
      </c>
    </row>
    <row r="7" spans="1:93" s="11" customFormat="1" x14ac:dyDescent="0.2">
      <c r="A7" s="11" t="s">
        <v>14</v>
      </c>
      <c r="B7" s="27" t="e">
        <f>SUM(J7:U7)</f>
        <v>#REF!</v>
      </c>
      <c r="C7" s="27" t="e">
        <f>SUM(V7:AG7)</f>
        <v>#REF!</v>
      </c>
      <c r="D7" s="27" t="e">
        <f t="shared" ref="D7:D11" si="4">SUM(AH7:AS7)</f>
        <v>#REF!</v>
      </c>
      <c r="E7" s="27" t="e">
        <f t="shared" ref="E7:E11" si="5">SUM(AT7:BE7)</f>
        <v>#REF!</v>
      </c>
      <c r="F7" s="27" t="e">
        <f>SUM(BF7:BQ7)</f>
        <v>#REF!</v>
      </c>
      <c r="G7" s="27" t="e">
        <f>SUM(BR7:CC7)</f>
        <v>#REF!</v>
      </c>
      <c r="H7" s="27" t="e">
        <f>SUM(CD7:CO7)</f>
        <v>#REF!</v>
      </c>
      <c r="I7" s="12"/>
      <c r="J7" s="27" t="e">
        <f>#REF!*' Inputs'!#REF!</f>
        <v>#REF!</v>
      </c>
      <c r="K7" s="27" t="e">
        <f>#REF!*' Inputs'!#REF!</f>
        <v>#REF!</v>
      </c>
      <c r="L7" s="27" t="e">
        <f>#REF!*' Inputs'!#REF!</f>
        <v>#REF!</v>
      </c>
      <c r="M7" s="27" t="e">
        <f>#REF!*' Inputs'!#REF!</f>
        <v>#REF!</v>
      </c>
      <c r="N7" s="27" t="e">
        <f>#REF!*' Inputs'!#REF!</f>
        <v>#REF!</v>
      </c>
      <c r="O7" s="27" t="e">
        <f>#REF!*' Inputs'!#REF!</f>
        <v>#REF!</v>
      </c>
      <c r="P7" s="27" t="e">
        <f>#REF!*' Inputs'!#REF!</f>
        <v>#REF!</v>
      </c>
      <c r="Q7" s="27" t="e">
        <f>#REF!*' Inputs'!#REF!</f>
        <v>#REF!</v>
      </c>
      <c r="R7" s="27" t="e">
        <f>#REF!*' Inputs'!#REF!</f>
        <v>#REF!</v>
      </c>
      <c r="S7" s="27" t="e">
        <f>#REF!*' Inputs'!#REF!</f>
        <v>#REF!</v>
      </c>
      <c r="T7" s="27" t="e">
        <f>#REF!*' Inputs'!#REF!</f>
        <v>#REF!</v>
      </c>
      <c r="U7" s="27" t="e">
        <f>#REF!*' Inputs'!#REF!</f>
        <v>#REF!</v>
      </c>
      <c r="V7" s="27" t="e">
        <f>#REF!*' Inputs'!#REF!</f>
        <v>#REF!</v>
      </c>
      <c r="W7" s="27" t="e">
        <f>#REF!*' Inputs'!#REF!</f>
        <v>#REF!</v>
      </c>
      <c r="X7" s="27" t="e">
        <f>#REF!*' Inputs'!#REF!</f>
        <v>#REF!</v>
      </c>
      <c r="Y7" s="27" t="e">
        <f>#REF!*' Inputs'!#REF!</f>
        <v>#REF!</v>
      </c>
      <c r="Z7" s="27" t="e">
        <f>#REF!*' Inputs'!#REF!</f>
        <v>#REF!</v>
      </c>
      <c r="AA7" s="27" t="e">
        <f>#REF!*' Inputs'!#REF!</f>
        <v>#REF!</v>
      </c>
      <c r="AB7" s="27" t="e">
        <f>#REF!*' Inputs'!#REF!</f>
        <v>#REF!</v>
      </c>
      <c r="AC7" s="27" t="e">
        <f>#REF!*' Inputs'!#REF!</f>
        <v>#REF!</v>
      </c>
      <c r="AD7" s="27" t="e">
        <f>#REF!*' Inputs'!#REF!</f>
        <v>#REF!</v>
      </c>
      <c r="AE7" s="27" t="e">
        <f>#REF!*' Inputs'!#REF!</f>
        <v>#REF!</v>
      </c>
      <c r="AF7" s="27" t="e">
        <f>#REF!*' Inputs'!#REF!</f>
        <v>#REF!</v>
      </c>
      <c r="AG7" s="27" t="e">
        <f>#REF!*' Inputs'!#REF!</f>
        <v>#REF!</v>
      </c>
      <c r="AH7" s="27" t="e">
        <f>#REF!*' Inputs'!#REF!</f>
        <v>#REF!</v>
      </c>
      <c r="AI7" s="27" t="e">
        <f>#REF!*' Inputs'!#REF!</f>
        <v>#REF!</v>
      </c>
      <c r="AJ7" s="27" t="e">
        <f>#REF!*' Inputs'!#REF!</f>
        <v>#REF!</v>
      </c>
      <c r="AK7" s="27" t="e">
        <f>#REF!*' Inputs'!#REF!</f>
        <v>#REF!</v>
      </c>
      <c r="AL7" s="27" t="e">
        <f>#REF!*' Inputs'!#REF!</f>
        <v>#REF!</v>
      </c>
      <c r="AM7" s="27" t="e">
        <f>#REF!*' Inputs'!#REF!</f>
        <v>#REF!</v>
      </c>
      <c r="AN7" s="27" t="e">
        <f>#REF!*' Inputs'!#REF!</f>
        <v>#REF!</v>
      </c>
      <c r="AO7" s="27" t="e">
        <f>#REF!*' Inputs'!#REF!</f>
        <v>#REF!</v>
      </c>
      <c r="AP7" s="27" t="e">
        <f>#REF!*' Inputs'!#REF!</f>
        <v>#REF!</v>
      </c>
      <c r="AQ7" s="27" t="e">
        <f>#REF!*' Inputs'!#REF!</f>
        <v>#REF!</v>
      </c>
      <c r="AR7" s="27" t="e">
        <f>#REF!*' Inputs'!#REF!</f>
        <v>#REF!</v>
      </c>
      <c r="AS7" s="27" t="e">
        <f>#REF!*' Inputs'!#REF!</f>
        <v>#REF!</v>
      </c>
      <c r="AT7" s="27" t="e">
        <f>#REF!*' Inputs'!#REF!</f>
        <v>#REF!</v>
      </c>
      <c r="AU7" s="27" t="e">
        <f>#REF!*' Inputs'!#REF!</f>
        <v>#REF!</v>
      </c>
      <c r="AV7" s="27" t="e">
        <f>#REF!*' Inputs'!#REF!</f>
        <v>#REF!</v>
      </c>
      <c r="AW7" s="27" t="e">
        <f>#REF!*' Inputs'!#REF!</f>
        <v>#REF!</v>
      </c>
      <c r="AX7" s="27" t="e">
        <f>#REF!*' Inputs'!#REF!</f>
        <v>#REF!</v>
      </c>
      <c r="AY7" s="27" t="e">
        <f>#REF!*' Inputs'!#REF!</f>
        <v>#REF!</v>
      </c>
      <c r="AZ7" s="27" t="e">
        <f>#REF!*' Inputs'!#REF!</f>
        <v>#REF!</v>
      </c>
      <c r="BA7" s="27" t="e">
        <f>#REF!*' Inputs'!#REF!</f>
        <v>#REF!</v>
      </c>
      <c r="BB7" s="27" t="e">
        <f>#REF!*' Inputs'!#REF!</f>
        <v>#REF!</v>
      </c>
      <c r="BC7" s="27" t="e">
        <f>#REF!*' Inputs'!#REF!</f>
        <v>#REF!</v>
      </c>
      <c r="BD7" s="27" t="e">
        <f>#REF!*' Inputs'!#REF!</f>
        <v>#REF!</v>
      </c>
      <c r="BE7" s="27" t="e">
        <f>#REF!*' Inputs'!#REF!</f>
        <v>#REF!</v>
      </c>
      <c r="BF7" s="27" t="e">
        <f>#REF!*' Inputs'!#REF!</f>
        <v>#REF!</v>
      </c>
      <c r="BG7" s="27" t="e">
        <f>#REF!*' Inputs'!#REF!</f>
        <v>#REF!</v>
      </c>
      <c r="BH7" s="27" t="e">
        <f>#REF!*' Inputs'!#REF!</f>
        <v>#REF!</v>
      </c>
      <c r="BI7" s="27" t="e">
        <f>#REF!*' Inputs'!#REF!</f>
        <v>#REF!</v>
      </c>
      <c r="BJ7" s="27" t="e">
        <f>#REF!*' Inputs'!#REF!</f>
        <v>#REF!</v>
      </c>
      <c r="BK7" s="27" t="e">
        <f>#REF!*' Inputs'!#REF!</f>
        <v>#REF!</v>
      </c>
      <c r="BL7" s="27" t="e">
        <f>#REF!*' Inputs'!#REF!</f>
        <v>#REF!</v>
      </c>
      <c r="BM7" s="27" t="e">
        <f>#REF!*' Inputs'!#REF!</f>
        <v>#REF!</v>
      </c>
      <c r="BN7" s="27" t="e">
        <f>#REF!*' Inputs'!#REF!</f>
        <v>#REF!</v>
      </c>
      <c r="BO7" s="27" t="e">
        <f>#REF!*' Inputs'!#REF!</f>
        <v>#REF!</v>
      </c>
      <c r="BP7" s="27" t="e">
        <f>#REF!*' Inputs'!#REF!</f>
        <v>#REF!</v>
      </c>
      <c r="BQ7" s="27" t="e">
        <f>#REF!*' Inputs'!#REF!</f>
        <v>#REF!</v>
      </c>
      <c r="BR7" s="27" t="e">
        <f>#REF!*' Inputs'!#REF!</f>
        <v>#REF!</v>
      </c>
      <c r="BS7" s="27" t="e">
        <f>#REF!*' Inputs'!#REF!</f>
        <v>#REF!</v>
      </c>
      <c r="BT7" s="27" t="e">
        <f>#REF!*' Inputs'!#REF!</f>
        <v>#REF!</v>
      </c>
      <c r="BU7" s="27" t="e">
        <f>#REF!*' Inputs'!#REF!</f>
        <v>#REF!</v>
      </c>
      <c r="BV7" s="27" t="e">
        <f>#REF!*' Inputs'!#REF!</f>
        <v>#REF!</v>
      </c>
      <c r="BW7" s="27" t="e">
        <f>#REF!*' Inputs'!#REF!</f>
        <v>#REF!</v>
      </c>
      <c r="BX7" s="27" t="e">
        <f>#REF!*' Inputs'!#REF!</f>
        <v>#REF!</v>
      </c>
      <c r="BY7" s="27" t="e">
        <f>#REF!*' Inputs'!#REF!</f>
        <v>#REF!</v>
      </c>
      <c r="BZ7" s="27" t="e">
        <f>#REF!*' Inputs'!#REF!</f>
        <v>#REF!</v>
      </c>
      <c r="CA7" s="27" t="e">
        <f>#REF!*' Inputs'!#REF!</f>
        <v>#REF!</v>
      </c>
      <c r="CB7" s="27" t="e">
        <f>#REF!*' Inputs'!#REF!</f>
        <v>#REF!</v>
      </c>
      <c r="CC7" s="27" t="e">
        <f>#REF!*' Inputs'!#REF!</f>
        <v>#REF!</v>
      </c>
      <c r="CD7" s="27" t="e">
        <f>#REF!*' Inputs'!#REF!</f>
        <v>#REF!</v>
      </c>
      <c r="CE7" s="27" t="e">
        <f>#REF!*' Inputs'!#REF!</f>
        <v>#REF!</v>
      </c>
      <c r="CF7" s="27" t="e">
        <f>#REF!*' Inputs'!#REF!</f>
        <v>#REF!</v>
      </c>
      <c r="CG7" s="27" t="e">
        <f>#REF!*' Inputs'!#REF!</f>
        <v>#REF!</v>
      </c>
      <c r="CH7" s="27" t="e">
        <f>#REF!*' Inputs'!#REF!</f>
        <v>#REF!</v>
      </c>
      <c r="CI7" s="27" t="e">
        <f>#REF!*' Inputs'!#REF!</f>
        <v>#REF!</v>
      </c>
      <c r="CJ7" s="27" t="e">
        <f>#REF!*' Inputs'!#REF!</f>
        <v>#REF!</v>
      </c>
      <c r="CK7" s="27" t="e">
        <f>#REF!*' Inputs'!#REF!</f>
        <v>#REF!</v>
      </c>
      <c r="CL7" s="27" t="e">
        <f>#REF!*' Inputs'!#REF!</f>
        <v>#REF!</v>
      </c>
      <c r="CM7" s="27" t="e">
        <f>#REF!*' Inputs'!#REF!</f>
        <v>#REF!</v>
      </c>
      <c r="CN7" s="27" t="e">
        <f>#REF!*' Inputs'!#REF!</f>
        <v>#REF!</v>
      </c>
      <c r="CO7" s="27" t="e">
        <f>#REF!*' Inputs'!#REF!</f>
        <v>#REF!</v>
      </c>
    </row>
    <row r="8" spans="1:93" s="11" customFormat="1" x14ac:dyDescent="0.2">
      <c r="A8" s="11" t="s">
        <v>15</v>
      </c>
      <c r="B8" s="5" t="e">
        <f>SUM(J8:U8)</f>
        <v>#REF!</v>
      </c>
      <c r="C8" s="5" t="e">
        <f t="shared" ref="C8:C11" si="6">SUM(V8:AG8)</f>
        <v>#REF!</v>
      </c>
      <c r="D8" s="5" t="e">
        <f t="shared" si="4"/>
        <v>#REF!</v>
      </c>
      <c r="E8" s="5" t="e">
        <f t="shared" si="5"/>
        <v>#REF!</v>
      </c>
      <c r="F8" s="5" t="e">
        <f t="shared" ref="F8:F11" si="7">SUM(BF8:BQ8)</f>
        <v>#REF!</v>
      </c>
      <c r="G8" s="12" t="e">
        <f t="shared" ref="G8:G11" si="8">SUM(BR8:CC8)</f>
        <v>#REF!</v>
      </c>
      <c r="H8" s="12" t="e">
        <f t="shared" ref="H8:H11" si="9">SUM(CD8:CO8)</f>
        <v>#REF!</v>
      </c>
      <c r="I8" s="7"/>
      <c r="J8" s="5" t="e">
        <f>J7*J6</f>
        <v>#REF!</v>
      </c>
      <c r="K8" s="5" t="e">
        <f>K7*K6</f>
        <v>#REF!</v>
      </c>
      <c r="L8" s="5" t="e">
        <f t="shared" ref="L8:AG8" si="10">L7*L6</f>
        <v>#REF!</v>
      </c>
      <c r="M8" s="5" t="e">
        <f t="shared" si="10"/>
        <v>#REF!</v>
      </c>
      <c r="N8" s="5" t="e">
        <f t="shared" si="10"/>
        <v>#REF!</v>
      </c>
      <c r="O8" s="5" t="e">
        <f t="shared" si="10"/>
        <v>#REF!</v>
      </c>
      <c r="P8" s="5" t="e">
        <f t="shared" si="10"/>
        <v>#REF!</v>
      </c>
      <c r="Q8" s="5" t="e">
        <f t="shared" si="10"/>
        <v>#REF!</v>
      </c>
      <c r="R8" s="5" t="e">
        <f t="shared" si="10"/>
        <v>#REF!</v>
      </c>
      <c r="S8" s="5" t="e">
        <f t="shared" si="10"/>
        <v>#REF!</v>
      </c>
      <c r="T8" s="5" t="e">
        <f t="shared" si="10"/>
        <v>#REF!</v>
      </c>
      <c r="U8" s="5" t="e">
        <f t="shared" si="10"/>
        <v>#REF!</v>
      </c>
      <c r="V8" s="5" t="e">
        <f t="shared" si="10"/>
        <v>#REF!</v>
      </c>
      <c r="W8" s="5" t="e">
        <f t="shared" si="10"/>
        <v>#REF!</v>
      </c>
      <c r="X8" s="5" t="e">
        <f t="shared" si="10"/>
        <v>#REF!</v>
      </c>
      <c r="Y8" s="5" t="e">
        <f t="shared" si="10"/>
        <v>#REF!</v>
      </c>
      <c r="Z8" s="5" t="e">
        <f t="shared" si="10"/>
        <v>#REF!</v>
      </c>
      <c r="AA8" s="5" t="e">
        <f t="shared" si="10"/>
        <v>#REF!</v>
      </c>
      <c r="AB8" s="5" t="e">
        <f t="shared" si="10"/>
        <v>#REF!</v>
      </c>
      <c r="AC8" s="5" t="e">
        <f t="shared" si="10"/>
        <v>#REF!</v>
      </c>
      <c r="AD8" s="5" t="e">
        <f t="shared" si="10"/>
        <v>#REF!</v>
      </c>
      <c r="AE8" s="5" t="e">
        <f t="shared" si="10"/>
        <v>#REF!</v>
      </c>
      <c r="AF8" s="5" t="e">
        <f t="shared" si="10"/>
        <v>#REF!</v>
      </c>
      <c r="AG8" s="5" t="e">
        <f t="shared" si="10"/>
        <v>#REF!</v>
      </c>
      <c r="AH8" s="5" t="e">
        <f>AH7*AH6</f>
        <v>#REF!</v>
      </c>
      <c r="AI8" s="5" t="e">
        <f t="shared" ref="AI8:BE8" si="11">AI7*AI6</f>
        <v>#REF!</v>
      </c>
      <c r="AJ8" s="5" t="e">
        <f t="shared" si="11"/>
        <v>#REF!</v>
      </c>
      <c r="AK8" s="5" t="e">
        <f t="shared" si="11"/>
        <v>#REF!</v>
      </c>
      <c r="AL8" s="5" t="e">
        <f t="shared" si="11"/>
        <v>#REF!</v>
      </c>
      <c r="AM8" s="5" t="e">
        <f t="shared" si="11"/>
        <v>#REF!</v>
      </c>
      <c r="AN8" s="5" t="e">
        <f t="shared" si="11"/>
        <v>#REF!</v>
      </c>
      <c r="AO8" s="5" t="e">
        <f t="shared" si="11"/>
        <v>#REF!</v>
      </c>
      <c r="AP8" s="5" t="e">
        <f t="shared" si="11"/>
        <v>#REF!</v>
      </c>
      <c r="AQ8" s="5" t="e">
        <f t="shared" si="11"/>
        <v>#REF!</v>
      </c>
      <c r="AR8" s="5" t="e">
        <f t="shared" si="11"/>
        <v>#REF!</v>
      </c>
      <c r="AS8" s="5" t="e">
        <f t="shared" si="11"/>
        <v>#REF!</v>
      </c>
      <c r="AT8" s="5" t="e">
        <f t="shared" si="11"/>
        <v>#REF!</v>
      </c>
      <c r="AU8" s="5" t="e">
        <f t="shared" si="11"/>
        <v>#REF!</v>
      </c>
      <c r="AV8" s="5" t="e">
        <f t="shared" si="11"/>
        <v>#REF!</v>
      </c>
      <c r="AW8" s="5" t="e">
        <f t="shared" si="11"/>
        <v>#REF!</v>
      </c>
      <c r="AX8" s="5" t="e">
        <f t="shared" si="11"/>
        <v>#REF!</v>
      </c>
      <c r="AY8" s="5" t="e">
        <f t="shared" si="11"/>
        <v>#REF!</v>
      </c>
      <c r="AZ8" s="5" t="e">
        <f t="shared" si="11"/>
        <v>#REF!</v>
      </c>
      <c r="BA8" s="5" t="e">
        <f t="shared" si="11"/>
        <v>#REF!</v>
      </c>
      <c r="BB8" s="5" t="e">
        <f t="shared" si="11"/>
        <v>#REF!</v>
      </c>
      <c r="BC8" s="5" t="e">
        <f t="shared" si="11"/>
        <v>#REF!</v>
      </c>
      <c r="BD8" s="5" t="e">
        <f t="shared" si="11"/>
        <v>#REF!</v>
      </c>
      <c r="BE8" s="5" t="e">
        <f t="shared" si="11"/>
        <v>#REF!</v>
      </c>
      <c r="BF8" s="5" t="e">
        <f>BF7*BF6</f>
        <v>#REF!</v>
      </c>
      <c r="BG8" s="5" t="e">
        <f t="shared" ref="BG8:BQ8" si="12">BG7*BG6</f>
        <v>#REF!</v>
      </c>
      <c r="BH8" s="5" t="e">
        <f t="shared" si="12"/>
        <v>#REF!</v>
      </c>
      <c r="BI8" s="5" t="e">
        <f t="shared" si="12"/>
        <v>#REF!</v>
      </c>
      <c r="BJ8" s="5" t="e">
        <f t="shared" si="12"/>
        <v>#REF!</v>
      </c>
      <c r="BK8" s="5" t="e">
        <f t="shared" si="12"/>
        <v>#REF!</v>
      </c>
      <c r="BL8" s="5" t="e">
        <f t="shared" si="12"/>
        <v>#REF!</v>
      </c>
      <c r="BM8" s="5" t="e">
        <f t="shared" si="12"/>
        <v>#REF!</v>
      </c>
      <c r="BN8" s="5" t="e">
        <f t="shared" si="12"/>
        <v>#REF!</v>
      </c>
      <c r="BO8" s="5" t="e">
        <f t="shared" si="12"/>
        <v>#REF!</v>
      </c>
      <c r="BP8" s="5" t="e">
        <f t="shared" si="12"/>
        <v>#REF!</v>
      </c>
      <c r="BQ8" s="5" t="e">
        <f t="shared" si="12"/>
        <v>#REF!</v>
      </c>
      <c r="BR8" s="5" t="e">
        <f>BR7*BR6</f>
        <v>#REF!</v>
      </c>
      <c r="BS8" s="5" t="e">
        <f t="shared" ref="BS8:CO8" si="13">BS7*BS6</f>
        <v>#REF!</v>
      </c>
      <c r="BT8" s="5" t="e">
        <f t="shared" si="13"/>
        <v>#REF!</v>
      </c>
      <c r="BU8" s="5" t="e">
        <f t="shared" si="13"/>
        <v>#REF!</v>
      </c>
      <c r="BV8" s="5" t="e">
        <f t="shared" si="13"/>
        <v>#REF!</v>
      </c>
      <c r="BW8" s="5" t="e">
        <f t="shared" si="13"/>
        <v>#REF!</v>
      </c>
      <c r="BX8" s="5" t="e">
        <f t="shared" si="13"/>
        <v>#REF!</v>
      </c>
      <c r="BY8" s="5" t="e">
        <f t="shared" si="13"/>
        <v>#REF!</v>
      </c>
      <c r="BZ8" s="5" t="e">
        <f t="shared" si="13"/>
        <v>#REF!</v>
      </c>
      <c r="CA8" s="5" t="e">
        <f t="shared" si="13"/>
        <v>#REF!</v>
      </c>
      <c r="CB8" s="5" t="e">
        <f t="shared" si="13"/>
        <v>#REF!</v>
      </c>
      <c r="CC8" s="5" t="e">
        <f t="shared" si="13"/>
        <v>#REF!</v>
      </c>
      <c r="CD8" s="5" t="e">
        <f t="shared" si="13"/>
        <v>#REF!</v>
      </c>
      <c r="CE8" s="5" t="e">
        <f t="shared" si="13"/>
        <v>#REF!</v>
      </c>
      <c r="CF8" s="5" t="e">
        <f t="shared" si="13"/>
        <v>#REF!</v>
      </c>
      <c r="CG8" s="5" t="e">
        <f t="shared" si="13"/>
        <v>#REF!</v>
      </c>
      <c r="CH8" s="5" t="e">
        <f t="shared" si="13"/>
        <v>#REF!</v>
      </c>
      <c r="CI8" s="5" t="e">
        <f t="shared" si="13"/>
        <v>#REF!</v>
      </c>
      <c r="CJ8" s="5" t="e">
        <f t="shared" si="13"/>
        <v>#REF!</v>
      </c>
      <c r="CK8" s="5" t="e">
        <f t="shared" si="13"/>
        <v>#REF!</v>
      </c>
      <c r="CL8" s="5" t="e">
        <f t="shared" si="13"/>
        <v>#REF!</v>
      </c>
      <c r="CM8" s="5" t="e">
        <f t="shared" si="13"/>
        <v>#REF!</v>
      </c>
      <c r="CN8" s="5" t="e">
        <f t="shared" si="13"/>
        <v>#REF!</v>
      </c>
      <c r="CO8" s="5" t="e">
        <f t="shared" si="13"/>
        <v>#REF!</v>
      </c>
    </row>
    <row r="9" spans="1:93" x14ac:dyDescent="0.2">
      <c r="A9" s="11" t="s">
        <v>19</v>
      </c>
      <c r="B9" s="5" t="e">
        <f>SUM(J9:U9)</f>
        <v>#REF!</v>
      </c>
      <c r="C9" s="5" t="e">
        <f t="shared" si="6"/>
        <v>#REF!</v>
      </c>
      <c r="D9" s="5" t="e">
        <f>SUM(AH9:AS9)</f>
        <v>#REF!</v>
      </c>
      <c r="E9" s="5" t="e">
        <f t="shared" si="5"/>
        <v>#REF!</v>
      </c>
      <c r="F9" s="5" t="e">
        <f t="shared" si="7"/>
        <v>#REF!</v>
      </c>
      <c r="G9" s="12" t="e">
        <f t="shared" si="8"/>
        <v>#REF!</v>
      </c>
      <c r="H9" s="12" t="e">
        <f t="shared" si="9"/>
        <v>#REF!</v>
      </c>
      <c r="J9" s="5" t="e">
        <f>J7*' Inputs'!$C$22</f>
        <v>#REF!</v>
      </c>
      <c r="K9" s="5" t="e">
        <f>K7*' Inputs'!$C$22</f>
        <v>#REF!</v>
      </c>
      <c r="L9" s="5" t="e">
        <f>L7*' Inputs'!$C$22</f>
        <v>#REF!</v>
      </c>
      <c r="M9" s="5" t="e">
        <f>M7*' Inputs'!$C$22</f>
        <v>#REF!</v>
      </c>
      <c r="N9" s="5" t="e">
        <f>N7*' Inputs'!$C$22</f>
        <v>#REF!</v>
      </c>
      <c r="O9" s="5" t="e">
        <f>O7*' Inputs'!$C$22</f>
        <v>#REF!</v>
      </c>
      <c r="P9" s="5" t="e">
        <f>P7*' Inputs'!$C$22</f>
        <v>#REF!</v>
      </c>
      <c r="Q9" s="5" t="e">
        <f>Q7*' Inputs'!$C$22</f>
        <v>#REF!</v>
      </c>
      <c r="R9" s="5" t="e">
        <f>R7*' Inputs'!$C$22</f>
        <v>#REF!</v>
      </c>
      <c r="S9" s="5" t="e">
        <f>S7*' Inputs'!$C$22</f>
        <v>#REF!</v>
      </c>
      <c r="T9" s="5" t="e">
        <f>T7*' Inputs'!$C$22</f>
        <v>#REF!</v>
      </c>
      <c r="U9" s="5" t="e">
        <f>U7*' Inputs'!$C$22</f>
        <v>#REF!</v>
      </c>
      <c r="V9" s="5" t="e">
        <f>V7*' Inputs'!$D$22</f>
        <v>#REF!</v>
      </c>
      <c r="W9" s="5" t="e">
        <f>W7*' Inputs'!$D$22</f>
        <v>#REF!</v>
      </c>
      <c r="X9" s="5" t="e">
        <f>X7*' Inputs'!$D$22</f>
        <v>#REF!</v>
      </c>
      <c r="Y9" s="5" t="e">
        <f>Y7*' Inputs'!$D$22</f>
        <v>#REF!</v>
      </c>
      <c r="Z9" s="5" t="e">
        <f>Z7*' Inputs'!$D$22</f>
        <v>#REF!</v>
      </c>
      <c r="AA9" s="5" t="e">
        <f>AA7*' Inputs'!$D$22</f>
        <v>#REF!</v>
      </c>
      <c r="AB9" s="5" t="e">
        <f>AB7*' Inputs'!$D$22</f>
        <v>#REF!</v>
      </c>
      <c r="AC9" s="5" t="e">
        <f>AC7*' Inputs'!$D$22</f>
        <v>#REF!</v>
      </c>
      <c r="AD9" s="5" t="e">
        <f>AD7*' Inputs'!$D$22</f>
        <v>#REF!</v>
      </c>
      <c r="AE9" s="5" t="e">
        <f>AE7*' Inputs'!$D$22</f>
        <v>#REF!</v>
      </c>
      <c r="AF9" s="5" t="e">
        <f>AF7*' Inputs'!$D$22</f>
        <v>#REF!</v>
      </c>
      <c r="AG9" s="5" t="e">
        <f>AG7*' Inputs'!$D$22</f>
        <v>#REF!</v>
      </c>
      <c r="AH9" s="5" t="e">
        <f>AH7*' Inputs'!$E$22</f>
        <v>#REF!</v>
      </c>
      <c r="AI9" s="5" t="e">
        <f>AI7*' Inputs'!$E$22</f>
        <v>#REF!</v>
      </c>
      <c r="AJ9" s="5" t="e">
        <f>AJ7*' Inputs'!$E$22</f>
        <v>#REF!</v>
      </c>
      <c r="AK9" s="5" t="e">
        <f>AK7*' Inputs'!$E$22</f>
        <v>#REF!</v>
      </c>
      <c r="AL9" s="5" t="e">
        <f>AL7*' Inputs'!$E$22</f>
        <v>#REF!</v>
      </c>
      <c r="AM9" s="5" t="e">
        <f>AM7*' Inputs'!$E$22</f>
        <v>#REF!</v>
      </c>
      <c r="AN9" s="5" t="e">
        <f>AN7*' Inputs'!$E$22</f>
        <v>#REF!</v>
      </c>
      <c r="AO9" s="5" t="e">
        <f>AO7*' Inputs'!$E$22</f>
        <v>#REF!</v>
      </c>
      <c r="AP9" s="5" t="e">
        <f>AP7*' Inputs'!$E$22</f>
        <v>#REF!</v>
      </c>
      <c r="AQ9" s="5" t="e">
        <f>AQ7*' Inputs'!$E$22</f>
        <v>#REF!</v>
      </c>
      <c r="AR9" s="5" t="e">
        <f>AR7*' Inputs'!$E$22</f>
        <v>#REF!</v>
      </c>
      <c r="AS9" s="5" t="e">
        <f>AS7*' Inputs'!$E$22</f>
        <v>#REF!</v>
      </c>
      <c r="AT9" s="5" t="e">
        <f>AT7*' Inputs'!$F$22</f>
        <v>#REF!</v>
      </c>
      <c r="AU9" s="5" t="e">
        <f>AU7*' Inputs'!$F$22</f>
        <v>#REF!</v>
      </c>
      <c r="AV9" s="5" t="e">
        <f>AV7*' Inputs'!$F$22</f>
        <v>#REF!</v>
      </c>
      <c r="AW9" s="5" t="e">
        <f>AW7*' Inputs'!$F$22</f>
        <v>#REF!</v>
      </c>
      <c r="AX9" s="5" t="e">
        <f>AX7*' Inputs'!$F$22</f>
        <v>#REF!</v>
      </c>
      <c r="AY9" s="5" t="e">
        <f>AY7*' Inputs'!$F$22</f>
        <v>#REF!</v>
      </c>
      <c r="AZ9" s="5" t="e">
        <f>AZ7*' Inputs'!$F$22</f>
        <v>#REF!</v>
      </c>
      <c r="BA9" s="5" t="e">
        <f>BA7*' Inputs'!$F$22</f>
        <v>#REF!</v>
      </c>
      <c r="BB9" s="5" t="e">
        <f>BB7*' Inputs'!$F$22</f>
        <v>#REF!</v>
      </c>
      <c r="BC9" s="5" t="e">
        <f>BC7*' Inputs'!$F$22</f>
        <v>#REF!</v>
      </c>
      <c r="BD9" s="5" t="e">
        <f>BD7*' Inputs'!$F$22</f>
        <v>#REF!</v>
      </c>
      <c r="BE9" s="5" t="e">
        <f>BE7*' Inputs'!$F$22</f>
        <v>#REF!</v>
      </c>
      <c r="BF9" s="5" t="e">
        <f>BF7*' Inputs'!$G$22</f>
        <v>#REF!</v>
      </c>
      <c r="BG9" s="5" t="e">
        <f>BG7*' Inputs'!$G$22</f>
        <v>#REF!</v>
      </c>
      <c r="BH9" s="5" t="e">
        <f>BH7*' Inputs'!$G$22</f>
        <v>#REF!</v>
      </c>
      <c r="BI9" s="5" t="e">
        <f>BI7*' Inputs'!$G$22</f>
        <v>#REF!</v>
      </c>
      <c r="BJ9" s="5" t="e">
        <f>BJ7*' Inputs'!$G$22</f>
        <v>#REF!</v>
      </c>
      <c r="BK9" s="5" t="e">
        <f>BK7*' Inputs'!$G$22</f>
        <v>#REF!</v>
      </c>
      <c r="BL9" s="5" t="e">
        <f>BL7*' Inputs'!$G$22</f>
        <v>#REF!</v>
      </c>
      <c r="BM9" s="5" t="e">
        <f>BM7*' Inputs'!$G$22</f>
        <v>#REF!</v>
      </c>
      <c r="BN9" s="5" t="e">
        <f>BN7*' Inputs'!$G$22</f>
        <v>#REF!</v>
      </c>
      <c r="BO9" s="5" t="e">
        <f>BO7*' Inputs'!$G$22</f>
        <v>#REF!</v>
      </c>
      <c r="BP9" s="5" t="e">
        <f>BP7*' Inputs'!$G$22</f>
        <v>#REF!</v>
      </c>
      <c r="BQ9" s="5" t="e">
        <f>BQ7*' Inputs'!$G$22</f>
        <v>#REF!</v>
      </c>
      <c r="BR9" s="5" t="e">
        <f>BR7*' Inputs'!$H$22</f>
        <v>#REF!</v>
      </c>
      <c r="BS9" s="5" t="e">
        <f>BS7*' Inputs'!$H$22</f>
        <v>#REF!</v>
      </c>
      <c r="BT9" s="5" t="e">
        <f>BT7*' Inputs'!$H$22</f>
        <v>#REF!</v>
      </c>
      <c r="BU9" s="5" t="e">
        <f>BU7*' Inputs'!$H$22</f>
        <v>#REF!</v>
      </c>
      <c r="BV9" s="5" t="e">
        <f>BV7*' Inputs'!$H$22</f>
        <v>#REF!</v>
      </c>
      <c r="BW9" s="5" t="e">
        <f>BW7*' Inputs'!$H$22</f>
        <v>#REF!</v>
      </c>
      <c r="BX9" s="5" t="e">
        <f>BX7*' Inputs'!$H$22</f>
        <v>#REF!</v>
      </c>
      <c r="BY9" s="5" t="e">
        <f>BY7*' Inputs'!$H$22</f>
        <v>#REF!</v>
      </c>
      <c r="BZ9" s="5" t="e">
        <f>BZ7*' Inputs'!$H$22</f>
        <v>#REF!</v>
      </c>
      <c r="CA9" s="5" t="e">
        <f>CA7*' Inputs'!$H$22</f>
        <v>#REF!</v>
      </c>
      <c r="CB9" s="5" t="e">
        <f>CB7*' Inputs'!$H$22</f>
        <v>#REF!</v>
      </c>
      <c r="CC9" s="5" t="e">
        <f>CC7*' Inputs'!$H$22</f>
        <v>#REF!</v>
      </c>
      <c r="CD9" s="5" t="e">
        <f>CD7*' Inputs'!$H$22</f>
        <v>#REF!</v>
      </c>
      <c r="CE9" s="5" t="e">
        <f>CE7*' Inputs'!$H$22</f>
        <v>#REF!</v>
      </c>
      <c r="CF9" s="5" t="e">
        <f>CF7*' Inputs'!$H$22</f>
        <v>#REF!</v>
      </c>
      <c r="CG9" s="5" t="e">
        <f>CG7*' Inputs'!$H$22</f>
        <v>#REF!</v>
      </c>
      <c r="CH9" s="5" t="e">
        <f>CH7*' Inputs'!$H$22</f>
        <v>#REF!</v>
      </c>
      <c r="CI9" s="5" t="e">
        <f>CI7*' Inputs'!$H$22</f>
        <v>#REF!</v>
      </c>
      <c r="CJ9" s="5" t="e">
        <f>CJ7*' Inputs'!$H$22</f>
        <v>#REF!</v>
      </c>
      <c r="CK9" s="5" t="e">
        <f>CK7*' Inputs'!$H$22</f>
        <v>#REF!</v>
      </c>
      <c r="CL9" s="5" t="e">
        <f>CL7*' Inputs'!$H$22</f>
        <v>#REF!</v>
      </c>
      <c r="CM9" s="5" t="e">
        <f>CM7*' Inputs'!$H$22</f>
        <v>#REF!</v>
      </c>
      <c r="CN9" s="5" t="e">
        <f>CN7*' Inputs'!$H$22</f>
        <v>#REF!</v>
      </c>
      <c r="CO9" s="5" t="e">
        <f>CO7*' Inputs'!$H$22</f>
        <v>#REF!</v>
      </c>
    </row>
    <row r="10" spans="1:93" x14ac:dyDescent="0.2">
      <c r="A10" t="s">
        <v>16</v>
      </c>
      <c r="B10" s="5" t="e">
        <f t="shared" ref="B10" si="14">SUM(J10:U10)</f>
        <v>#REF!</v>
      </c>
      <c r="C10" s="5" t="e">
        <f t="shared" si="6"/>
        <v>#REF!</v>
      </c>
      <c r="D10" s="5" t="e">
        <f t="shared" si="4"/>
        <v>#REF!</v>
      </c>
      <c r="E10" s="5" t="e">
        <f t="shared" si="5"/>
        <v>#REF!</v>
      </c>
      <c r="F10" s="5" t="e">
        <f t="shared" si="7"/>
        <v>#REF!</v>
      </c>
      <c r="G10" s="12" t="e">
        <f t="shared" si="8"/>
        <v>#REF!</v>
      </c>
      <c r="H10" s="12" t="e">
        <f t="shared" si="9"/>
        <v>#REF!</v>
      </c>
      <c r="J10" s="5" t="e">
        <f>J8*' Inputs'!$C$26</f>
        <v>#REF!</v>
      </c>
      <c r="K10" s="5" t="e">
        <f>K8*' Inputs'!$C$26</f>
        <v>#REF!</v>
      </c>
      <c r="L10" s="5" t="e">
        <f>L8*' Inputs'!$C$26</f>
        <v>#REF!</v>
      </c>
      <c r="M10" s="5" t="e">
        <f>M8*' Inputs'!$C$26</f>
        <v>#REF!</v>
      </c>
      <c r="N10" s="5" t="e">
        <f>N8*' Inputs'!$C$26</f>
        <v>#REF!</v>
      </c>
      <c r="O10" s="5" t="e">
        <f>O8*' Inputs'!$C$26</f>
        <v>#REF!</v>
      </c>
      <c r="P10" s="5" t="e">
        <f>P8*' Inputs'!$C$26</f>
        <v>#REF!</v>
      </c>
      <c r="Q10" s="5" t="e">
        <f>Q8*' Inputs'!$C$26</f>
        <v>#REF!</v>
      </c>
      <c r="R10" s="5" t="e">
        <f>R8*' Inputs'!$C$26</f>
        <v>#REF!</v>
      </c>
      <c r="S10" s="5" t="e">
        <f>S8*' Inputs'!$C$26</f>
        <v>#REF!</v>
      </c>
      <c r="T10" s="5" t="e">
        <f>T8*' Inputs'!$C$26</f>
        <v>#REF!</v>
      </c>
      <c r="U10" s="5" t="e">
        <f>U8*' Inputs'!$C$26</f>
        <v>#REF!</v>
      </c>
      <c r="V10" s="5" t="e">
        <f>V8*' Inputs'!$D$26</f>
        <v>#REF!</v>
      </c>
      <c r="W10" s="5" t="e">
        <f>W8*' Inputs'!$D$26</f>
        <v>#REF!</v>
      </c>
      <c r="X10" s="5" t="e">
        <f>X8*' Inputs'!$D$26</f>
        <v>#REF!</v>
      </c>
      <c r="Y10" s="5" t="e">
        <f>Y8*' Inputs'!$D$26</f>
        <v>#REF!</v>
      </c>
      <c r="Z10" s="5" t="e">
        <f>Z8*' Inputs'!$D$26</f>
        <v>#REF!</v>
      </c>
      <c r="AA10" s="5" t="e">
        <f>AA8*' Inputs'!$D$26</f>
        <v>#REF!</v>
      </c>
      <c r="AB10" s="5" t="e">
        <f>AB8*' Inputs'!$D$26</f>
        <v>#REF!</v>
      </c>
      <c r="AC10" s="5" t="e">
        <f>AC8*' Inputs'!$D$26</f>
        <v>#REF!</v>
      </c>
      <c r="AD10" s="5" t="e">
        <f>AD8*' Inputs'!$D$26</f>
        <v>#REF!</v>
      </c>
      <c r="AE10" s="5" t="e">
        <f>AE8*' Inputs'!$D$26</f>
        <v>#REF!</v>
      </c>
      <c r="AF10" s="5" t="e">
        <f>AF8*' Inputs'!$D$26</f>
        <v>#REF!</v>
      </c>
      <c r="AG10" s="5" t="e">
        <f>AG8*' Inputs'!$D$26</f>
        <v>#REF!</v>
      </c>
      <c r="AH10" s="5" t="e">
        <f>AH8*' Inputs'!$E$26</f>
        <v>#REF!</v>
      </c>
      <c r="AI10" s="5" t="e">
        <f>AI8*' Inputs'!$E$26</f>
        <v>#REF!</v>
      </c>
      <c r="AJ10" s="5" t="e">
        <f>AJ8*' Inputs'!$E$26</f>
        <v>#REF!</v>
      </c>
      <c r="AK10" s="5" t="e">
        <f>AK8*' Inputs'!$E$26</f>
        <v>#REF!</v>
      </c>
      <c r="AL10" s="5" t="e">
        <f>AL8*' Inputs'!$E$26</f>
        <v>#REF!</v>
      </c>
      <c r="AM10" s="5" t="e">
        <f>AM8*' Inputs'!$E$26</f>
        <v>#REF!</v>
      </c>
      <c r="AN10" s="5" t="e">
        <f>AN8*' Inputs'!$E$26</f>
        <v>#REF!</v>
      </c>
      <c r="AO10" s="5" t="e">
        <f>AO8*' Inputs'!$E$26</f>
        <v>#REF!</v>
      </c>
      <c r="AP10" s="5" t="e">
        <f>AP8*' Inputs'!$E$26</f>
        <v>#REF!</v>
      </c>
      <c r="AQ10" s="5" t="e">
        <f>AQ8*' Inputs'!$E$26</f>
        <v>#REF!</v>
      </c>
      <c r="AR10" s="5" t="e">
        <f>AR8*' Inputs'!$E$26</f>
        <v>#REF!</v>
      </c>
      <c r="AS10" s="5" t="e">
        <f>AS8*' Inputs'!$E$26</f>
        <v>#REF!</v>
      </c>
      <c r="AT10" s="5" t="e">
        <f>AT8*' Inputs'!$F$26</f>
        <v>#REF!</v>
      </c>
      <c r="AU10" s="5" t="e">
        <f>AU8*' Inputs'!$F$26</f>
        <v>#REF!</v>
      </c>
      <c r="AV10" s="5" t="e">
        <f>AV8*' Inputs'!$F$26</f>
        <v>#REF!</v>
      </c>
      <c r="AW10" s="5" t="e">
        <f>AW8*' Inputs'!$F$26</f>
        <v>#REF!</v>
      </c>
      <c r="AX10" s="5" t="e">
        <f>AX8*' Inputs'!$F$26</f>
        <v>#REF!</v>
      </c>
      <c r="AY10" s="5" t="e">
        <f>AY8*' Inputs'!$F$26</f>
        <v>#REF!</v>
      </c>
      <c r="AZ10" s="5" t="e">
        <f>AZ8*' Inputs'!$F$26</f>
        <v>#REF!</v>
      </c>
      <c r="BA10" s="5" t="e">
        <f>BA8*' Inputs'!$F$26</f>
        <v>#REF!</v>
      </c>
      <c r="BB10" s="5" t="e">
        <f>BB8*' Inputs'!$F$26</f>
        <v>#REF!</v>
      </c>
      <c r="BC10" s="5" t="e">
        <f>BC8*' Inputs'!$F$26</f>
        <v>#REF!</v>
      </c>
      <c r="BD10" s="5" t="e">
        <f>BD8*' Inputs'!$F$26</f>
        <v>#REF!</v>
      </c>
      <c r="BE10" s="5" t="e">
        <f>BE8*' Inputs'!$F$26</f>
        <v>#REF!</v>
      </c>
      <c r="BF10" s="5" t="e">
        <f>BF8*' Inputs'!$G$26</f>
        <v>#REF!</v>
      </c>
      <c r="BG10" s="5" t="e">
        <f>BG8*' Inputs'!$G$26</f>
        <v>#REF!</v>
      </c>
      <c r="BH10" s="5" t="e">
        <f>BH8*' Inputs'!$G$26</f>
        <v>#REF!</v>
      </c>
      <c r="BI10" s="5" t="e">
        <f>BI8*' Inputs'!$G$26</f>
        <v>#REF!</v>
      </c>
      <c r="BJ10" s="5" t="e">
        <f>BJ8*' Inputs'!$G$26</f>
        <v>#REF!</v>
      </c>
      <c r="BK10" s="5" t="e">
        <f>BK8*' Inputs'!$G$26</f>
        <v>#REF!</v>
      </c>
      <c r="BL10" s="5" t="e">
        <f>BL8*' Inputs'!$G$26</f>
        <v>#REF!</v>
      </c>
      <c r="BM10" s="5" t="e">
        <f>BM8*' Inputs'!$G$26</f>
        <v>#REF!</v>
      </c>
      <c r="BN10" s="5" t="e">
        <f>BN8*' Inputs'!$G$26</f>
        <v>#REF!</v>
      </c>
      <c r="BO10" s="5" t="e">
        <f>BO8*' Inputs'!$G$26</f>
        <v>#REF!</v>
      </c>
      <c r="BP10" s="5" t="e">
        <f>BP8*' Inputs'!$G$26</f>
        <v>#REF!</v>
      </c>
      <c r="BQ10" s="5" t="e">
        <f>BQ8*' Inputs'!$G$26</f>
        <v>#REF!</v>
      </c>
      <c r="BR10" s="5" t="e">
        <f>BR8*' Inputs'!$H$26</f>
        <v>#REF!</v>
      </c>
      <c r="BS10" s="5" t="e">
        <f>BS8*' Inputs'!$H$26</f>
        <v>#REF!</v>
      </c>
      <c r="BT10" s="5" t="e">
        <f>BT8*' Inputs'!$H$26</f>
        <v>#REF!</v>
      </c>
      <c r="BU10" s="5" t="e">
        <f>BU8*' Inputs'!$H$26</f>
        <v>#REF!</v>
      </c>
      <c r="BV10" s="5" t="e">
        <f>BV8*' Inputs'!$H$26</f>
        <v>#REF!</v>
      </c>
      <c r="BW10" s="5" t="e">
        <f>BW8*' Inputs'!$H$26</f>
        <v>#REF!</v>
      </c>
      <c r="BX10" s="5" t="e">
        <f>BX8*' Inputs'!$H$26</f>
        <v>#REF!</v>
      </c>
      <c r="BY10" s="5" t="e">
        <f>BY8*' Inputs'!$H$26</f>
        <v>#REF!</v>
      </c>
      <c r="BZ10" s="5" t="e">
        <f>BZ8*' Inputs'!$H$26</f>
        <v>#REF!</v>
      </c>
      <c r="CA10" s="5" t="e">
        <f>CA8*' Inputs'!$H$26</f>
        <v>#REF!</v>
      </c>
      <c r="CB10" s="5" t="e">
        <f>CB8*' Inputs'!$H$26</f>
        <v>#REF!</v>
      </c>
      <c r="CC10" s="5" t="e">
        <f>CC8*' Inputs'!$H$26</f>
        <v>#REF!</v>
      </c>
      <c r="CD10" s="5" t="e">
        <f>CD8*' Inputs'!$H$26</f>
        <v>#REF!</v>
      </c>
      <c r="CE10" s="5" t="e">
        <f>CE8*' Inputs'!$H$26</f>
        <v>#REF!</v>
      </c>
      <c r="CF10" s="5" t="e">
        <f>CF8*' Inputs'!$H$26</f>
        <v>#REF!</v>
      </c>
      <c r="CG10" s="5" t="e">
        <f>CG8*' Inputs'!$H$26</f>
        <v>#REF!</v>
      </c>
      <c r="CH10" s="5" t="e">
        <f>CH8*' Inputs'!$H$26</f>
        <v>#REF!</v>
      </c>
      <c r="CI10" s="5" t="e">
        <f>CI8*' Inputs'!$H$26</f>
        <v>#REF!</v>
      </c>
      <c r="CJ10" s="5" t="e">
        <f>CJ8*' Inputs'!$H$26</f>
        <v>#REF!</v>
      </c>
      <c r="CK10" s="5" t="e">
        <f>CK8*' Inputs'!$H$26</f>
        <v>#REF!</v>
      </c>
      <c r="CL10" s="5" t="e">
        <f>CL8*' Inputs'!$H$26</f>
        <v>#REF!</v>
      </c>
      <c r="CM10" s="5" t="e">
        <f>CM8*' Inputs'!$H$26</f>
        <v>#REF!</v>
      </c>
      <c r="CN10" s="5" t="e">
        <f>CN8*' Inputs'!$H$26</f>
        <v>#REF!</v>
      </c>
      <c r="CO10" s="5" t="e">
        <f>CO8*' Inputs'!$H$26</f>
        <v>#REF!</v>
      </c>
    </row>
    <row r="11" spans="1:93" x14ac:dyDescent="0.2">
      <c r="A11" s="15" t="s">
        <v>88</v>
      </c>
      <c r="B11" s="16" t="e">
        <f>SUM(J11:U11)</f>
        <v>#REF!</v>
      </c>
      <c r="C11" s="16" t="e">
        <f t="shared" si="6"/>
        <v>#REF!</v>
      </c>
      <c r="D11" s="16" t="e">
        <f t="shared" si="4"/>
        <v>#REF!</v>
      </c>
      <c r="E11" s="16" t="e">
        <f t="shared" si="5"/>
        <v>#REF!</v>
      </c>
      <c r="F11" s="16" t="e">
        <f t="shared" si="7"/>
        <v>#REF!</v>
      </c>
      <c r="G11" s="8" t="e">
        <f t="shared" si="8"/>
        <v>#REF!</v>
      </c>
      <c r="H11" s="8" t="e">
        <f t="shared" si="9"/>
        <v>#REF!</v>
      </c>
      <c r="J11" s="5" t="e">
        <f>J9+J10</f>
        <v>#REF!</v>
      </c>
      <c r="K11" s="5" t="e">
        <f t="shared" ref="K11:T11" si="15">K9+K10</f>
        <v>#REF!</v>
      </c>
      <c r="L11" s="5" t="e">
        <f t="shared" si="15"/>
        <v>#REF!</v>
      </c>
      <c r="M11" s="5" t="e">
        <f t="shared" si="15"/>
        <v>#REF!</v>
      </c>
      <c r="N11" s="5" t="e">
        <f t="shared" si="15"/>
        <v>#REF!</v>
      </c>
      <c r="O11" s="5" t="e">
        <f t="shared" si="15"/>
        <v>#REF!</v>
      </c>
      <c r="P11" s="5" t="e">
        <f t="shared" si="15"/>
        <v>#REF!</v>
      </c>
      <c r="Q11" s="5" t="e">
        <f t="shared" si="15"/>
        <v>#REF!</v>
      </c>
      <c r="R11" s="5" t="e">
        <f t="shared" si="15"/>
        <v>#REF!</v>
      </c>
      <c r="S11" s="5" t="e">
        <f t="shared" si="15"/>
        <v>#REF!</v>
      </c>
      <c r="T11" s="5" t="e">
        <f t="shared" si="15"/>
        <v>#REF!</v>
      </c>
      <c r="U11" s="5" t="e">
        <f>U9+U10</f>
        <v>#REF!</v>
      </c>
      <c r="V11" s="5" t="e">
        <f>V9+V10</f>
        <v>#REF!</v>
      </c>
      <c r="W11" s="5" t="e">
        <f t="shared" ref="W11:CH11" si="16">W9+W10</f>
        <v>#REF!</v>
      </c>
      <c r="X11" s="5" t="e">
        <f t="shared" si="16"/>
        <v>#REF!</v>
      </c>
      <c r="Y11" s="5" t="e">
        <f t="shared" si="16"/>
        <v>#REF!</v>
      </c>
      <c r="Z11" s="5" t="e">
        <f t="shared" si="16"/>
        <v>#REF!</v>
      </c>
      <c r="AA11" s="5" t="e">
        <f t="shared" si="16"/>
        <v>#REF!</v>
      </c>
      <c r="AB11" s="5" t="e">
        <f t="shared" si="16"/>
        <v>#REF!</v>
      </c>
      <c r="AC11" s="5" t="e">
        <f t="shared" si="16"/>
        <v>#REF!</v>
      </c>
      <c r="AD11" s="5" t="e">
        <f t="shared" si="16"/>
        <v>#REF!</v>
      </c>
      <c r="AE11" s="5" t="e">
        <f t="shared" si="16"/>
        <v>#REF!</v>
      </c>
      <c r="AF11" s="5" t="e">
        <f t="shared" si="16"/>
        <v>#REF!</v>
      </c>
      <c r="AG11" s="5" t="e">
        <f t="shared" si="16"/>
        <v>#REF!</v>
      </c>
      <c r="AH11" s="5" t="e">
        <f t="shared" si="16"/>
        <v>#REF!</v>
      </c>
      <c r="AI11" s="5" t="e">
        <f t="shared" si="16"/>
        <v>#REF!</v>
      </c>
      <c r="AJ11" s="5" t="e">
        <f t="shared" si="16"/>
        <v>#REF!</v>
      </c>
      <c r="AK11" s="5" t="e">
        <f t="shared" si="16"/>
        <v>#REF!</v>
      </c>
      <c r="AL11" s="5" t="e">
        <f t="shared" si="16"/>
        <v>#REF!</v>
      </c>
      <c r="AM11" s="5" t="e">
        <f t="shared" si="16"/>
        <v>#REF!</v>
      </c>
      <c r="AN11" s="5" t="e">
        <f t="shared" si="16"/>
        <v>#REF!</v>
      </c>
      <c r="AO11" s="5" t="e">
        <f t="shared" si="16"/>
        <v>#REF!</v>
      </c>
      <c r="AP11" s="5" t="e">
        <f t="shared" si="16"/>
        <v>#REF!</v>
      </c>
      <c r="AQ11" s="5" t="e">
        <f t="shared" si="16"/>
        <v>#REF!</v>
      </c>
      <c r="AR11" s="5" t="e">
        <f t="shared" si="16"/>
        <v>#REF!</v>
      </c>
      <c r="AS11" s="5" t="e">
        <f t="shared" si="16"/>
        <v>#REF!</v>
      </c>
      <c r="AT11" s="5" t="e">
        <f t="shared" si="16"/>
        <v>#REF!</v>
      </c>
      <c r="AU11" s="5" t="e">
        <f t="shared" si="16"/>
        <v>#REF!</v>
      </c>
      <c r="AV11" s="5" t="e">
        <f t="shared" si="16"/>
        <v>#REF!</v>
      </c>
      <c r="AW11" s="5" t="e">
        <f t="shared" si="16"/>
        <v>#REF!</v>
      </c>
      <c r="AX11" s="5" t="e">
        <f t="shared" si="16"/>
        <v>#REF!</v>
      </c>
      <c r="AY11" s="5" t="e">
        <f t="shared" si="16"/>
        <v>#REF!</v>
      </c>
      <c r="AZ11" s="5" t="e">
        <f t="shared" si="16"/>
        <v>#REF!</v>
      </c>
      <c r="BA11" s="5" t="e">
        <f t="shared" si="16"/>
        <v>#REF!</v>
      </c>
      <c r="BB11" s="5" t="e">
        <f t="shared" si="16"/>
        <v>#REF!</v>
      </c>
      <c r="BC11" s="5" t="e">
        <f t="shared" si="16"/>
        <v>#REF!</v>
      </c>
      <c r="BD11" s="5" t="e">
        <f t="shared" si="16"/>
        <v>#REF!</v>
      </c>
      <c r="BE11" s="5" t="e">
        <f t="shared" si="16"/>
        <v>#REF!</v>
      </c>
      <c r="BF11" s="5" t="e">
        <f t="shared" si="16"/>
        <v>#REF!</v>
      </c>
      <c r="BG11" s="5" t="e">
        <f t="shared" si="16"/>
        <v>#REF!</v>
      </c>
      <c r="BH11" s="5" t="e">
        <f t="shared" si="16"/>
        <v>#REF!</v>
      </c>
      <c r="BI11" s="5" t="e">
        <f t="shared" si="16"/>
        <v>#REF!</v>
      </c>
      <c r="BJ11" s="5" t="e">
        <f t="shared" si="16"/>
        <v>#REF!</v>
      </c>
      <c r="BK11" s="5" t="e">
        <f t="shared" si="16"/>
        <v>#REF!</v>
      </c>
      <c r="BL11" s="5" t="e">
        <f t="shared" si="16"/>
        <v>#REF!</v>
      </c>
      <c r="BM11" s="5" t="e">
        <f t="shared" si="16"/>
        <v>#REF!</v>
      </c>
      <c r="BN11" s="5" t="e">
        <f t="shared" si="16"/>
        <v>#REF!</v>
      </c>
      <c r="BO11" s="5" t="e">
        <f t="shared" si="16"/>
        <v>#REF!</v>
      </c>
      <c r="BP11" s="5" t="e">
        <f t="shared" si="16"/>
        <v>#REF!</v>
      </c>
      <c r="BQ11" s="5" t="e">
        <f t="shared" si="16"/>
        <v>#REF!</v>
      </c>
      <c r="BR11" s="5" t="e">
        <f t="shared" si="16"/>
        <v>#REF!</v>
      </c>
      <c r="BS11" s="5" t="e">
        <f t="shared" si="16"/>
        <v>#REF!</v>
      </c>
      <c r="BT11" s="5" t="e">
        <f t="shared" si="16"/>
        <v>#REF!</v>
      </c>
      <c r="BU11" s="5" t="e">
        <f t="shared" si="16"/>
        <v>#REF!</v>
      </c>
      <c r="BV11" s="5" t="e">
        <f t="shared" si="16"/>
        <v>#REF!</v>
      </c>
      <c r="BW11" s="5" t="e">
        <f t="shared" si="16"/>
        <v>#REF!</v>
      </c>
      <c r="BX11" s="5" t="e">
        <f t="shared" si="16"/>
        <v>#REF!</v>
      </c>
      <c r="BY11" s="5" t="e">
        <f t="shared" si="16"/>
        <v>#REF!</v>
      </c>
      <c r="BZ11" s="5" t="e">
        <f t="shared" si="16"/>
        <v>#REF!</v>
      </c>
      <c r="CA11" s="5" t="e">
        <f t="shared" si="16"/>
        <v>#REF!</v>
      </c>
      <c r="CB11" s="5" t="e">
        <f t="shared" si="16"/>
        <v>#REF!</v>
      </c>
      <c r="CC11" s="5" t="e">
        <f t="shared" si="16"/>
        <v>#REF!</v>
      </c>
      <c r="CD11" s="5" t="e">
        <f t="shared" si="16"/>
        <v>#REF!</v>
      </c>
      <c r="CE11" s="5" t="e">
        <f t="shared" si="16"/>
        <v>#REF!</v>
      </c>
      <c r="CF11" s="5" t="e">
        <f t="shared" si="16"/>
        <v>#REF!</v>
      </c>
      <c r="CG11" s="5" t="e">
        <f t="shared" si="16"/>
        <v>#REF!</v>
      </c>
      <c r="CH11" s="5" t="e">
        <f t="shared" si="16"/>
        <v>#REF!</v>
      </c>
      <c r="CI11" s="5" t="e">
        <f t="shared" ref="CI11:CO11" si="17">CI9+CI10</f>
        <v>#REF!</v>
      </c>
      <c r="CJ11" s="5" t="e">
        <f t="shared" si="17"/>
        <v>#REF!</v>
      </c>
      <c r="CK11" s="5" t="e">
        <f t="shared" si="17"/>
        <v>#REF!</v>
      </c>
      <c r="CL11" s="5" t="e">
        <f t="shared" si="17"/>
        <v>#REF!</v>
      </c>
      <c r="CM11" s="5" t="e">
        <f t="shared" si="17"/>
        <v>#REF!</v>
      </c>
      <c r="CN11" s="5" t="e">
        <f t="shared" si="17"/>
        <v>#REF!</v>
      </c>
      <c r="CO11" s="5" t="e">
        <f t="shared" si="17"/>
        <v>#REF!</v>
      </c>
    </row>
    <row r="12" spans="1:93" x14ac:dyDescent="0.2">
      <c r="A12" s="28" t="s">
        <v>87</v>
      </c>
      <c r="B12" s="46" t="e">
        <f>B11/B8</f>
        <v>#REF!</v>
      </c>
      <c r="C12" s="46" t="e">
        <f t="shared" ref="C12:H12" si="18">C11/C8</f>
        <v>#REF!</v>
      </c>
      <c r="D12" s="46" t="e">
        <f>D11/D8</f>
        <v>#REF!</v>
      </c>
      <c r="E12" s="46" t="e">
        <f t="shared" si="18"/>
        <v>#REF!</v>
      </c>
      <c r="F12" s="46" t="e">
        <f t="shared" si="18"/>
        <v>#REF!</v>
      </c>
      <c r="G12" s="46" t="e">
        <f t="shared" si="18"/>
        <v>#REF!</v>
      </c>
      <c r="H12" s="46" t="e">
        <f t="shared" si="18"/>
        <v>#REF!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</row>
    <row r="13" spans="1:93" x14ac:dyDescent="0.2">
      <c r="B13" s="14"/>
      <c r="C13" s="14"/>
      <c r="D13" s="14"/>
      <c r="E13" s="14"/>
      <c r="F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</row>
    <row r="14" spans="1:93" x14ac:dyDescent="0.2">
      <c r="B14" s="14"/>
      <c r="C14" s="14"/>
      <c r="D14" s="14"/>
      <c r="E14" s="5"/>
      <c r="F14" s="5"/>
      <c r="G14" s="5"/>
      <c r="H14" s="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</row>
    <row r="15" spans="1:93" s="15" customFormat="1" x14ac:dyDescent="0.2">
      <c r="A15" s="15" t="s">
        <v>18</v>
      </c>
      <c r="B15" s="16" t="e">
        <f>B11+#REF!+#REF!+#REF!+#REF!</f>
        <v>#REF!</v>
      </c>
      <c r="C15" s="16" t="e">
        <f>C11+#REF!+#REF!+#REF!+#REF!</f>
        <v>#REF!</v>
      </c>
      <c r="D15" s="16" t="e">
        <f>D11+#REF!+#REF!+#REF!+#REF!</f>
        <v>#REF!</v>
      </c>
      <c r="E15" s="16" t="e">
        <f>E11+#REF!+#REF!+#REF!+#REF!</f>
        <v>#REF!</v>
      </c>
      <c r="F15" s="16" t="e">
        <f>F11+#REF!+#REF!+#REF!+#REF!</f>
        <v>#REF!</v>
      </c>
      <c r="G15" s="16" t="e">
        <f>G11+#REF!+#REF!+#REF!+#REF!</f>
        <v>#REF!</v>
      </c>
      <c r="H15" s="16" t="e">
        <f>H11+#REF!+#REF!+#REF!+#REF!</f>
        <v>#REF!</v>
      </c>
      <c r="I15" s="8"/>
      <c r="J15" s="8" t="e">
        <f t="shared" ref="J15:AO15" si="19">SUM(J11:J13)</f>
        <v>#REF!</v>
      </c>
      <c r="K15" s="8" t="e">
        <f t="shared" si="19"/>
        <v>#REF!</v>
      </c>
      <c r="L15" s="8" t="e">
        <f t="shared" si="19"/>
        <v>#REF!</v>
      </c>
      <c r="M15" s="8" t="e">
        <f t="shared" si="19"/>
        <v>#REF!</v>
      </c>
      <c r="N15" s="8" t="e">
        <f t="shared" si="19"/>
        <v>#REF!</v>
      </c>
      <c r="O15" s="8" t="e">
        <f t="shared" si="19"/>
        <v>#REF!</v>
      </c>
      <c r="P15" s="8" t="e">
        <f t="shared" si="19"/>
        <v>#REF!</v>
      </c>
      <c r="Q15" s="8" t="e">
        <f t="shared" si="19"/>
        <v>#REF!</v>
      </c>
      <c r="R15" s="8" t="e">
        <f t="shared" si="19"/>
        <v>#REF!</v>
      </c>
      <c r="S15" s="8" t="e">
        <f t="shared" si="19"/>
        <v>#REF!</v>
      </c>
      <c r="T15" s="8" t="e">
        <f t="shared" si="19"/>
        <v>#REF!</v>
      </c>
      <c r="U15" s="8" t="e">
        <f t="shared" si="19"/>
        <v>#REF!</v>
      </c>
      <c r="V15" s="8" t="e">
        <f t="shared" si="19"/>
        <v>#REF!</v>
      </c>
      <c r="W15" s="8" t="e">
        <f t="shared" si="19"/>
        <v>#REF!</v>
      </c>
      <c r="X15" s="8" t="e">
        <f t="shared" si="19"/>
        <v>#REF!</v>
      </c>
      <c r="Y15" s="8" t="e">
        <f t="shared" si="19"/>
        <v>#REF!</v>
      </c>
      <c r="Z15" s="8" t="e">
        <f t="shared" si="19"/>
        <v>#REF!</v>
      </c>
      <c r="AA15" s="8" t="e">
        <f t="shared" si="19"/>
        <v>#REF!</v>
      </c>
      <c r="AB15" s="8" t="e">
        <f t="shared" si="19"/>
        <v>#REF!</v>
      </c>
      <c r="AC15" s="8" t="e">
        <f t="shared" si="19"/>
        <v>#REF!</v>
      </c>
      <c r="AD15" s="8" t="e">
        <f t="shared" si="19"/>
        <v>#REF!</v>
      </c>
      <c r="AE15" s="8" t="e">
        <f t="shared" si="19"/>
        <v>#REF!</v>
      </c>
      <c r="AF15" s="8" t="e">
        <f t="shared" si="19"/>
        <v>#REF!</v>
      </c>
      <c r="AG15" s="8" t="e">
        <f t="shared" si="19"/>
        <v>#REF!</v>
      </c>
      <c r="AH15" s="8" t="e">
        <f t="shared" si="19"/>
        <v>#REF!</v>
      </c>
      <c r="AI15" s="8" t="e">
        <f t="shared" si="19"/>
        <v>#REF!</v>
      </c>
      <c r="AJ15" s="8" t="e">
        <f t="shared" si="19"/>
        <v>#REF!</v>
      </c>
      <c r="AK15" s="8" t="e">
        <f t="shared" si="19"/>
        <v>#REF!</v>
      </c>
      <c r="AL15" s="8" t="e">
        <f t="shared" si="19"/>
        <v>#REF!</v>
      </c>
      <c r="AM15" s="8" t="e">
        <f t="shared" si="19"/>
        <v>#REF!</v>
      </c>
      <c r="AN15" s="8" t="e">
        <f t="shared" si="19"/>
        <v>#REF!</v>
      </c>
      <c r="AO15" s="8" t="e">
        <f t="shared" si="19"/>
        <v>#REF!</v>
      </c>
      <c r="AP15" s="8" t="e">
        <f t="shared" ref="AP15:BU15" si="20">SUM(AP11:AP13)</f>
        <v>#REF!</v>
      </c>
      <c r="AQ15" s="8" t="e">
        <f t="shared" si="20"/>
        <v>#REF!</v>
      </c>
      <c r="AR15" s="8" t="e">
        <f t="shared" si="20"/>
        <v>#REF!</v>
      </c>
      <c r="AS15" s="8" t="e">
        <f t="shared" si="20"/>
        <v>#REF!</v>
      </c>
      <c r="AT15" s="8" t="e">
        <f t="shared" si="20"/>
        <v>#REF!</v>
      </c>
      <c r="AU15" s="8" t="e">
        <f t="shared" si="20"/>
        <v>#REF!</v>
      </c>
      <c r="AV15" s="8" t="e">
        <f t="shared" si="20"/>
        <v>#REF!</v>
      </c>
      <c r="AW15" s="8" t="e">
        <f t="shared" si="20"/>
        <v>#REF!</v>
      </c>
      <c r="AX15" s="8" t="e">
        <f t="shared" si="20"/>
        <v>#REF!</v>
      </c>
      <c r="AY15" s="8" t="e">
        <f t="shared" si="20"/>
        <v>#REF!</v>
      </c>
      <c r="AZ15" s="8" t="e">
        <f t="shared" si="20"/>
        <v>#REF!</v>
      </c>
      <c r="BA15" s="8" t="e">
        <f t="shared" si="20"/>
        <v>#REF!</v>
      </c>
      <c r="BB15" s="8" t="e">
        <f t="shared" si="20"/>
        <v>#REF!</v>
      </c>
      <c r="BC15" s="8" t="e">
        <f t="shared" si="20"/>
        <v>#REF!</v>
      </c>
      <c r="BD15" s="8" t="e">
        <f t="shared" si="20"/>
        <v>#REF!</v>
      </c>
      <c r="BE15" s="8" t="e">
        <f t="shared" si="20"/>
        <v>#REF!</v>
      </c>
      <c r="BF15" s="8" t="e">
        <f t="shared" si="20"/>
        <v>#REF!</v>
      </c>
      <c r="BG15" s="8" t="e">
        <f t="shared" si="20"/>
        <v>#REF!</v>
      </c>
      <c r="BH15" s="8" t="e">
        <f t="shared" si="20"/>
        <v>#REF!</v>
      </c>
      <c r="BI15" s="8" t="e">
        <f t="shared" si="20"/>
        <v>#REF!</v>
      </c>
      <c r="BJ15" s="8" t="e">
        <f t="shared" si="20"/>
        <v>#REF!</v>
      </c>
      <c r="BK15" s="8" t="e">
        <f t="shared" si="20"/>
        <v>#REF!</v>
      </c>
      <c r="BL15" s="8" t="e">
        <f t="shared" si="20"/>
        <v>#REF!</v>
      </c>
      <c r="BM15" s="8" t="e">
        <f t="shared" si="20"/>
        <v>#REF!</v>
      </c>
      <c r="BN15" s="8" t="e">
        <f t="shared" si="20"/>
        <v>#REF!</v>
      </c>
      <c r="BO15" s="8" t="e">
        <f t="shared" si="20"/>
        <v>#REF!</v>
      </c>
      <c r="BP15" s="8" t="e">
        <f t="shared" si="20"/>
        <v>#REF!</v>
      </c>
      <c r="BQ15" s="8" t="e">
        <f t="shared" si="20"/>
        <v>#REF!</v>
      </c>
      <c r="BR15" s="8" t="e">
        <f t="shared" si="20"/>
        <v>#REF!</v>
      </c>
      <c r="BS15" s="8" t="e">
        <f t="shared" si="20"/>
        <v>#REF!</v>
      </c>
      <c r="BT15" s="8" t="e">
        <f t="shared" si="20"/>
        <v>#REF!</v>
      </c>
      <c r="BU15" s="8" t="e">
        <f t="shared" si="20"/>
        <v>#REF!</v>
      </c>
      <c r="BV15" s="8" t="e">
        <f t="shared" ref="BV15:CO15" si="21">SUM(BV11:BV13)</f>
        <v>#REF!</v>
      </c>
      <c r="BW15" s="8" t="e">
        <f t="shared" si="21"/>
        <v>#REF!</v>
      </c>
      <c r="BX15" s="8" t="e">
        <f t="shared" si="21"/>
        <v>#REF!</v>
      </c>
      <c r="BY15" s="8" t="e">
        <f t="shared" si="21"/>
        <v>#REF!</v>
      </c>
      <c r="BZ15" s="8" t="e">
        <f t="shared" si="21"/>
        <v>#REF!</v>
      </c>
      <c r="CA15" s="8" t="e">
        <f t="shared" si="21"/>
        <v>#REF!</v>
      </c>
      <c r="CB15" s="8" t="e">
        <f t="shared" si="21"/>
        <v>#REF!</v>
      </c>
      <c r="CC15" s="8" t="e">
        <f t="shared" si="21"/>
        <v>#REF!</v>
      </c>
      <c r="CD15" s="8" t="e">
        <f t="shared" si="21"/>
        <v>#REF!</v>
      </c>
      <c r="CE15" s="8" t="e">
        <f t="shared" si="21"/>
        <v>#REF!</v>
      </c>
      <c r="CF15" s="8" t="e">
        <f t="shared" si="21"/>
        <v>#REF!</v>
      </c>
      <c r="CG15" s="8" t="e">
        <f t="shared" si="21"/>
        <v>#REF!</v>
      </c>
      <c r="CH15" s="8" t="e">
        <f t="shared" si="21"/>
        <v>#REF!</v>
      </c>
      <c r="CI15" s="8" t="e">
        <f t="shared" si="21"/>
        <v>#REF!</v>
      </c>
      <c r="CJ15" s="8" t="e">
        <f t="shared" si="21"/>
        <v>#REF!</v>
      </c>
      <c r="CK15" s="8" t="e">
        <f t="shared" si="21"/>
        <v>#REF!</v>
      </c>
      <c r="CL15" s="8" t="e">
        <f t="shared" si="21"/>
        <v>#REF!</v>
      </c>
      <c r="CM15" s="8" t="e">
        <f t="shared" si="21"/>
        <v>#REF!</v>
      </c>
      <c r="CN15" s="8" t="e">
        <f t="shared" si="21"/>
        <v>#REF!</v>
      </c>
      <c r="CO15" s="8" t="e">
        <f t="shared" si="21"/>
        <v>#REF!</v>
      </c>
    </row>
    <row r="16" spans="1:93" x14ac:dyDescent="0.2">
      <c r="B16" s="14"/>
      <c r="C16" s="14"/>
      <c r="D16" s="14"/>
      <c r="E16" s="5"/>
      <c r="F16" s="5"/>
      <c r="G16" s="5"/>
      <c r="H16" s="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</row>
    <row r="17" spans="1:93" x14ac:dyDescent="0.2">
      <c r="A17" t="s">
        <v>20</v>
      </c>
      <c r="B17" s="5" t="e">
        <f>B8/#REF!</f>
        <v>#REF!</v>
      </c>
      <c r="C17" s="5" t="e">
        <f>C8/#REF!</f>
        <v>#REF!</v>
      </c>
      <c r="D17" s="5" t="e">
        <f>D8/#REF!</f>
        <v>#REF!</v>
      </c>
      <c r="E17" s="5" t="e">
        <f>E8/#REF!</f>
        <v>#REF!</v>
      </c>
      <c r="F17" s="5" t="e">
        <f>F8/#REF!</f>
        <v>#REF!</v>
      </c>
      <c r="G17" s="5" t="e">
        <f>G8/#REF!</f>
        <v>#REF!</v>
      </c>
      <c r="H17" s="5" t="e">
        <f>H8/#REF!</f>
        <v>#REF!</v>
      </c>
      <c r="I17" s="5"/>
      <c r="J17" s="3" t="e">
        <f>J8/#REF!</f>
        <v>#REF!</v>
      </c>
      <c r="K17" s="5" t="e">
        <f>K8/#REF!</f>
        <v>#REF!</v>
      </c>
      <c r="L17" s="5" t="e">
        <f>L8/#REF!</f>
        <v>#REF!</v>
      </c>
      <c r="M17" s="5" t="e">
        <f>M8/#REF!</f>
        <v>#REF!</v>
      </c>
      <c r="N17" s="5" t="e">
        <f>N8/#REF!</f>
        <v>#REF!</v>
      </c>
      <c r="O17" s="5" t="e">
        <f>O8/#REF!</f>
        <v>#REF!</v>
      </c>
      <c r="P17" s="5" t="e">
        <f>P8/#REF!</f>
        <v>#REF!</v>
      </c>
      <c r="Q17" s="5" t="e">
        <f>Q8/#REF!</f>
        <v>#REF!</v>
      </c>
      <c r="R17" s="5" t="e">
        <f>R8/#REF!</f>
        <v>#REF!</v>
      </c>
      <c r="S17" s="5" t="e">
        <f>S8/#REF!</f>
        <v>#REF!</v>
      </c>
      <c r="T17" s="5" t="e">
        <f>T8/#REF!</f>
        <v>#REF!</v>
      </c>
      <c r="U17" s="5" t="e">
        <f>U8/#REF!</f>
        <v>#REF!</v>
      </c>
      <c r="V17" s="5" t="e">
        <f>V8/#REF!</f>
        <v>#REF!</v>
      </c>
      <c r="W17" s="5" t="e">
        <f>W8/#REF!</f>
        <v>#REF!</v>
      </c>
      <c r="X17" s="5" t="e">
        <f>X8/#REF!</f>
        <v>#REF!</v>
      </c>
      <c r="Y17" s="5" t="e">
        <f>Y8/#REF!</f>
        <v>#REF!</v>
      </c>
      <c r="Z17" s="5" t="e">
        <f>Z8/#REF!</f>
        <v>#REF!</v>
      </c>
      <c r="AA17" s="5" t="e">
        <f>AA8/#REF!</f>
        <v>#REF!</v>
      </c>
      <c r="AB17" s="5" t="e">
        <f>AB8/#REF!</f>
        <v>#REF!</v>
      </c>
      <c r="AC17" s="5" t="e">
        <f>AC8/#REF!</f>
        <v>#REF!</v>
      </c>
      <c r="AD17" s="5" t="e">
        <f>AD8/#REF!</f>
        <v>#REF!</v>
      </c>
      <c r="AE17" s="5" t="e">
        <f>AE8/#REF!</f>
        <v>#REF!</v>
      </c>
      <c r="AF17" s="5" t="e">
        <f>AF8/#REF!</f>
        <v>#REF!</v>
      </c>
      <c r="AG17" s="5" t="e">
        <f>AG8/#REF!</f>
        <v>#REF!</v>
      </c>
      <c r="AH17" s="5" t="e">
        <f>AH8/#REF!</f>
        <v>#REF!</v>
      </c>
      <c r="AI17" s="5" t="e">
        <f>AI8/#REF!</f>
        <v>#REF!</v>
      </c>
      <c r="AJ17" s="5" t="e">
        <f>AJ8/#REF!</f>
        <v>#REF!</v>
      </c>
      <c r="AK17" s="5" t="e">
        <f>AK8/#REF!</f>
        <v>#REF!</v>
      </c>
      <c r="AL17" s="5" t="e">
        <f>AL8/#REF!</f>
        <v>#REF!</v>
      </c>
      <c r="AM17" s="5" t="e">
        <f>AM8/#REF!</f>
        <v>#REF!</v>
      </c>
      <c r="AN17" s="5" t="e">
        <f>AN8/#REF!</f>
        <v>#REF!</v>
      </c>
      <c r="AO17" s="5" t="e">
        <f>AO8/#REF!</f>
        <v>#REF!</v>
      </c>
      <c r="AP17" s="5" t="e">
        <f>AP8/#REF!</f>
        <v>#REF!</v>
      </c>
      <c r="AQ17" s="5" t="e">
        <f>AQ8/#REF!</f>
        <v>#REF!</v>
      </c>
      <c r="AR17" s="5" t="e">
        <f>AR8/#REF!</f>
        <v>#REF!</v>
      </c>
      <c r="AS17" s="5" t="e">
        <f>AS8/#REF!</f>
        <v>#REF!</v>
      </c>
      <c r="AT17" s="5" t="e">
        <f>AT8/#REF!</f>
        <v>#REF!</v>
      </c>
      <c r="AU17" s="5" t="e">
        <f>AU8/#REF!</f>
        <v>#REF!</v>
      </c>
      <c r="AV17" s="5" t="e">
        <f>AV8/#REF!</f>
        <v>#REF!</v>
      </c>
      <c r="AW17" s="5" t="e">
        <f>AW8/#REF!</f>
        <v>#REF!</v>
      </c>
      <c r="AX17" s="5" t="e">
        <f>AX8/#REF!</f>
        <v>#REF!</v>
      </c>
      <c r="AY17" s="5" t="e">
        <f>AY8/#REF!</f>
        <v>#REF!</v>
      </c>
      <c r="AZ17" s="5" t="e">
        <f>AZ8/#REF!</f>
        <v>#REF!</v>
      </c>
      <c r="BA17" s="5" t="e">
        <f>BA8/#REF!</f>
        <v>#REF!</v>
      </c>
      <c r="BB17" s="5" t="e">
        <f>BB8/#REF!</f>
        <v>#REF!</v>
      </c>
      <c r="BC17" s="5" t="e">
        <f>BC8/#REF!</f>
        <v>#REF!</v>
      </c>
      <c r="BD17" s="5" t="e">
        <f>BD8/#REF!</f>
        <v>#REF!</v>
      </c>
      <c r="BE17" s="5" t="e">
        <f>BE8/#REF!</f>
        <v>#REF!</v>
      </c>
      <c r="BF17" s="5" t="e">
        <f>BF8/#REF!</f>
        <v>#REF!</v>
      </c>
      <c r="BG17" s="5" t="e">
        <f>BG8/#REF!</f>
        <v>#REF!</v>
      </c>
      <c r="BH17" s="5" t="e">
        <f>BH8/#REF!</f>
        <v>#REF!</v>
      </c>
      <c r="BI17" s="5" t="e">
        <f>BI8/#REF!</f>
        <v>#REF!</v>
      </c>
      <c r="BJ17" s="5" t="e">
        <f>BJ8/#REF!</f>
        <v>#REF!</v>
      </c>
      <c r="BK17" s="5" t="e">
        <f>BK8/#REF!</f>
        <v>#REF!</v>
      </c>
      <c r="BL17" s="5" t="e">
        <f>BL8/#REF!</f>
        <v>#REF!</v>
      </c>
      <c r="BM17" s="5" t="e">
        <f>BM8/#REF!</f>
        <v>#REF!</v>
      </c>
      <c r="BN17" s="5" t="e">
        <f>BN8/#REF!</f>
        <v>#REF!</v>
      </c>
      <c r="BO17" s="5" t="e">
        <f>BO8/#REF!</f>
        <v>#REF!</v>
      </c>
      <c r="BP17" s="5" t="e">
        <f>BP8/#REF!</f>
        <v>#REF!</v>
      </c>
      <c r="BQ17" s="5" t="e">
        <f>BQ8/#REF!</f>
        <v>#REF!</v>
      </c>
      <c r="BR17" s="5" t="e">
        <f>BR8/#REF!</f>
        <v>#REF!</v>
      </c>
      <c r="BS17" s="5" t="e">
        <f>BS8/#REF!</f>
        <v>#REF!</v>
      </c>
      <c r="BT17" s="5" t="e">
        <f>BT8/#REF!</f>
        <v>#REF!</v>
      </c>
      <c r="BU17" s="5" t="e">
        <f>BU8/#REF!</f>
        <v>#REF!</v>
      </c>
      <c r="BV17" s="5" t="e">
        <f>BV8/#REF!</f>
        <v>#REF!</v>
      </c>
      <c r="BW17" s="5" t="e">
        <f>BW8/#REF!</f>
        <v>#REF!</v>
      </c>
      <c r="BX17" s="5" t="e">
        <f>BX8/#REF!</f>
        <v>#REF!</v>
      </c>
      <c r="BY17" s="5" t="e">
        <f>BY8/#REF!</f>
        <v>#REF!</v>
      </c>
      <c r="BZ17" s="5" t="e">
        <f>BZ8/#REF!</f>
        <v>#REF!</v>
      </c>
      <c r="CA17" s="5" t="e">
        <f>CA8/#REF!</f>
        <v>#REF!</v>
      </c>
      <c r="CB17" s="5" t="e">
        <f>CB8/#REF!</f>
        <v>#REF!</v>
      </c>
      <c r="CC17" s="5" t="e">
        <f>CC8/#REF!</f>
        <v>#REF!</v>
      </c>
      <c r="CD17" s="5" t="e">
        <f>CD8/#REF!</f>
        <v>#REF!</v>
      </c>
      <c r="CE17" s="5" t="e">
        <f>CE8/#REF!</f>
        <v>#REF!</v>
      </c>
      <c r="CF17" s="5" t="e">
        <f>CF8/#REF!</f>
        <v>#REF!</v>
      </c>
      <c r="CG17" s="5" t="e">
        <f>CG8/#REF!</f>
        <v>#REF!</v>
      </c>
      <c r="CH17" s="5" t="e">
        <f>CH8/#REF!</f>
        <v>#REF!</v>
      </c>
      <c r="CI17" s="5" t="e">
        <f>CI8/#REF!</f>
        <v>#REF!</v>
      </c>
      <c r="CJ17" s="5" t="e">
        <f>CJ8/#REF!</f>
        <v>#REF!</v>
      </c>
      <c r="CK17" s="5" t="e">
        <f>CK8/#REF!</f>
        <v>#REF!</v>
      </c>
      <c r="CL17" s="5" t="e">
        <f>CL8/#REF!</f>
        <v>#REF!</v>
      </c>
      <c r="CM17" s="5" t="e">
        <f>CM8/#REF!</f>
        <v>#REF!</v>
      </c>
      <c r="CN17" s="5" t="e">
        <f>CN8/#REF!</f>
        <v>#REF!</v>
      </c>
      <c r="CO17" s="5" t="e">
        <f>CO8/#REF!</f>
        <v>#REF!</v>
      </c>
    </row>
    <row r="18" spans="1:93" x14ac:dyDescent="0.2">
      <c r="A18" t="s">
        <v>22</v>
      </c>
      <c r="B18" s="5" t="e">
        <f>B15/#REF!</f>
        <v>#REF!</v>
      </c>
      <c r="C18" s="5" t="e">
        <f>C15/#REF!</f>
        <v>#REF!</v>
      </c>
      <c r="D18" s="5" t="e">
        <f>D15/#REF!</f>
        <v>#REF!</v>
      </c>
      <c r="E18" s="5" t="e">
        <f>E15/#REF!</f>
        <v>#REF!</v>
      </c>
      <c r="F18" s="5" t="e">
        <f>F15/#REF!</f>
        <v>#REF!</v>
      </c>
      <c r="G18" s="5" t="e">
        <f>G15/#REF!</f>
        <v>#REF!</v>
      </c>
      <c r="H18" s="5" t="e">
        <f>H15/#REF!</f>
        <v>#REF!</v>
      </c>
      <c r="J18" s="12" t="e">
        <f>J15/#REF!</f>
        <v>#REF!</v>
      </c>
      <c r="K18" s="12" t="e">
        <f>K15/#REF!</f>
        <v>#REF!</v>
      </c>
      <c r="L18" s="12" t="e">
        <f>L15/#REF!</f>
        <v>#REF!</v>
      </c>
      <c r="M18" s="12" t="e">
        <f>M15/#REF!</f>
        <v>#REF!</v>
      </c>
      <c r="N18" s="12" t="e">
        <f>N15/#REF!</f>
        <v>#REF!</v>
      </c>
      <c r="O18" s="12" t="e">
        <f>O15/#REF!</f>
        <v>#REF!</v>
      </c>
      <c r="P18" s="12" t="e">
        <f>P15/#REF!</f>
        <v>#REF!</v>
      </c>
      <c r="Q18" s="12" t="e">
        <f>Q15/#REF!</f>
        <v>#REF!</v>
      </c>
      <c r="R18" s="12" t="e">
        <f>R15/#REF!</f>
        <v>#REF!</v>
      </c>
      <c r="S18" s="12" t="e">
        <f>S15/#REF!</f>
        <v>#REF!</v>
      </c>
      <c r="T18" s="12" t="e">
        <f>T15/#REF!</f>
        <v>#REF!</v>
      </c>
      <c r="U18" s="12" t="e">
        <f>U15/#REF!</f>
        <v>#REF!</v>
      </c>
      <c r="V18" s="12" t="e">
        <f>V15/#REF!</f>
        <v>#REF!</v>
      </c>
      <c r="W18" s="12" t="e">
        <f>W15/#REF!</f>
        <v>#REF!</v>
      </c>
      <c r="X18" s="12" t="e">
        <f>X15/#REF!</f>
        <v>#REF!</v>
      </c>
      <c r="Y18" s="12" t="e">
        <f>Y15/#REF!</f>
        <v>#REF!</v>
      </c>
      <c r="Z18" s="12" t="e">
        <f>Z15/#REF!</f>
        <v>#REF!</v>
      </c>
      <c r="AA18" s="12" t="e">
        <f>AA15/#REF!</f>
        <v>#REF!</v>
      </c>
      <c r="AB18" s="12" t="e">
        <f>AB15/#REF!</f>
        <v>#REF!</v>
      </c>
      <c r="AC18" s="12" t="e">
        <f>AC15/#REF!</f>
        <v>#REF!</v>
      </c>
      <c r="AD18" s="12" t="e">
        <f>AD15/#REF!</f>
        <v>#REF!</v>
      </c>
      <c r="AE18" s="12" t="e">
        <f>AE15/#REF!</f>
        <v>#REF!</v>
      </c>
      <c r="AF18" s="12" t="e">
        <f>AF15/#REF!</f>
        <v>#REF!</v>
      </c>
      <c r="AG18" s="12" t="e">
        <f>AG15/#REF!</f>
        <v>#REF!</v>
      </c>
      <c r="AH18" s="12" t="e">
        <f>AH15/#REF!</f>
        <v>#REF!</v>
      </c>
      <c r="AI18" s="12" t="e">
        <f>AI15/#REF!</f>
        <v>#REF!</v>
      </c>
      <c r="AJ18" s="12" t="e">
        <f>AJ15/#REF!</f>
        <v>#REF!</v>
      </c>
      <c r="AK18" s="12" t="e">
        <f>AK15/#REF!</f>
        <v>#REF!</v>
      </c>
      <c r="AL18" s="12" t="e">
        <f>AL15/#REF!</f>
        <v>#REF!</v>
      </c>
      <c r="AM18" s="12" t="e">
        <f>AM15/#REF!</f>
        <v>#REF!</v>
      </c>
      <c r="AN18" s="12" t="e">
        <f>AN15/#REF!</f>
        <v>#REF!</v>
      </c>
      <c r="AO18" s="12" t="e">
        <f>AO15/#REF!</f>
        <v>#REF!</v>
      </c>
      <c r="AP18" s="12" t="e">
        <f>AP15/#REF!</f>
        <v>#REF!</v>
      </c>
      <c r="AQ18" s="12" t="e">
        <f>AQ15/#REF!</f>
        <v>#REF!</v>
      </c>
      <c r="AR18" s="12" t="e">
        <f>AR15/#REF!</f>
        <v>#REF!</v>
      </c>
      <c r="AS18" s="12" t="e">
        <f>AS15/#REF!</f>
        <v>#REF!</v>
      </c>
      <c r="AT18" s="12" t="e">
        <f>AT15/#REF!</f>
        <v>#REF!</v>
      </c>
      <c r="AU18" s="12" t="e">
        <f>AU15/#REF!</f>
        <v>#REF!</v>
      </c>
      <c r="AV18" s="12" t="e">
        <f>AV15/#REF!</f>
        <v>#REF!</v>
      </c>
      <c r="AW18" s="12" t="e">
        <f>AW15/#REF!</f>
        <v>#REF!</v>
      </c>
      <c r="AX18" s="12" t="e">
        <f>AX15/#REF!</f>
        <v>#REF!</v>
      </c>
      <c r="AY18" s="12" t="e">
        <f>AY15/#REF!</f>
        <v>#REF!</v>
      </c>
      <c r="AZ18" s="12" t="e">
        <f>AZ15/#REF!</f>
        <v>#REF!</v>
      </c>
      <c r="BA18" s="12" t="e">
        <f>BA15/#REF!</f>
        <v>#REF!</v>
      </c>
      <c r="BB18" s="12" t="e">
        <f>BB15/#REF!</f>
        <v>#REF!</v>
      </c>
      <c r="BC18" s="12" t="e">
        <f>BC15/#REF!</f>
        <v>#REF!</v>
      </c>
      <c r="BD18" s="12" t="e">
        <f>BD15/#REF!</f>
        <v>#REF!</v>
      </c>
      <c r="BE18" s="12" t="e">
        <f>BE15/#REF!</f>
        <v>#REF!</v>
      </c>
      <c r="BF18" s="12" t="e">
        <f>BF15/#REF!</f>
        <v>#REF!</v>
      </c>
      <c r="BG18" s="12" t="e">
        <f>BG15/#REF!</f>
        <v>#REF!</v>
      </c>
      <c r="BH18" s="12" t="e">
        <f>BH15/#REF!</f>
        <v>#REF!</v>
      </c>
      <c r="BI18" s="12" t="e">
        <f>BI15/#REF!</f>
        <v>#REF!</v>
      </c>
      <c r="BJ18" s="12" t="e">
        <f>BJ15/#REF!</f>
        <v>#REF!</v>
      </c>
      <c r="BK18" s="12" t="e">
        <f>BK15/#REF!</f>
        <v>#REF!</v>
      </c>
      <c r="BL18" s="12" t="e">
        <f>BL15/#REF!</f>
        <v>#REF!</v>
      </c>
      <c r="BM18" s="12" t="e">
        <f>BM15/#REF!</f>
        <v>#REF!</v>
      </c>
      <c r="BN18" s="12" t="e">
        <f>BN15/#REF!</f>
        <v>#REF!</v>
      </c>
      <c r="BO18" s="12" t="e">
        <f>BO15/#REF!</f>
        <v>#REF!</v>
      </c>
      <c r="BP18" s="12" t="e">
        <f>BP15/#REF!</f>
        <v>#REF!</v>
      </c>
      <c r="BQ18" s="12" t="e">
        <f>BQ15/#REF!</f>
        <v>#REF!</v>
      </c>
      <c r="BR18" s="12" t="e">
        <f>BR15/#REF!</f>
        <v>#REF!</v>
      </c>
      <c r="BS18" s="12" t="e">
        <f>BS15/#REF!</f>
        <v>#REF!</v>
      </c>
      <c r="BT18" s="12" t="e">
        <f>BT15/#REF!</f>
        <v>#REF!</v>
      </c>
      <c r="BU18" s="12" t="e">
        <f>BU15/#REF!</f>
        <v>#REF!</v>
      </c>
      <c r="BV18" s="12" t="e">
        <f>BV15/#REF!</f>
        <v>#REF!</v>
      </c>
      <c r="BW18" s="12" t="e">
        <f>BW15/#REF!</f>
        <v>#REF!</v>
      </c>
      <c r="BX18" s="12" t="e">
        <f>BX15/#REF!</f>
        <v>#REF!</v>
      </c>
      <c r="BY18" s="12" t="e">
        <f>BY15/#REF!</f>
        <v>#REF!</v>
      </c>
      <c r="BZ18" s="12" t="e">
        <f>BZ15/#REF!</f>
        <v>#REF!</v>
      </c>
      <c r="CA18" s="12" t="e">
        <f>CA15/#REF!</f>
        <v>#REF!</v>
      </c>
      <c r="CB18" s="12" t="e">
        <f>CB15/#REF!</f>
        <v>#REF!</v>
      </c>
      <c r="CC18" s="12" t="e">
        <f>CC15/#REF!</f>
        <v>#REF!</v>
      </c>
      <c r="CD18" s="12" t="e">
        <f>CD15/#REF!</f>
        <v>#REF!</v>
      </c>
      <c r="CE18" s="12" t="e">
        <f>CE15/#REF!</f>
        <v>#REF!</v>
      </c>
      <c r="CF18" s="12" t="e">
        <f>CF15/#REF!</f>
        <v>#REF!</v>
      </c>
      <c r="CG18" s="12" t="e">
        <f>CG15/#REF!</f>
        <v>#REF!</v>
      </c>
      <c r="CH18" s="12" t="e">
        <f>CH15/#REF!</f>
        <v>#REF!</v>
      </c>
      <c r="CI18" s="12" t="e">
        <f>CI15/#REF!</f>
        <v>#REF!</v>
      </c>
      <c r="CJ18" s="12" t="e">
        <f>CJ15/#REF!</f>
        <v>#REF!</v>
      </c>
      <c r="CK18" s="12" t="e">
        <f>CK15/#REF!</f>
        <v>#REF!</v>
      </c>
      <c r="CL18" s="12" t="e">
        <f>CL15/#REF!</f>
        <v>#REF!</v>
      </c>
      <c r="CM18" s="12" t="e">
        <f>CM15/#REF!</f>
        <v>#REF!</v>
      </c>
      <c r="CN18" s="12" t="e">
        <f>CN15/#REF!</f>
        <v>#REF!</v>
      </c>
      <c r="CO18" s="12" t="e">
        <f>CO15/#REF!</f>
        <v>#REF!</v>
      </c>
    </row>
    <row r="19" spans="1:93" x14ac:dyDescent="0.2">
      <c r="A19" t="s">
        <v>21</v>
      </c>
      <c r="B19" s="25" t="e">
        <f>B18/B17</f>
        <v>#REF!</v>
      </c>
      <c r="C19" s="25" t="e">
        <f t="shared" ref="C19:E19" si="22">C18/C17</f>
        <v>#REF!</v>
      </c>
      <c r="D19" s="25" t="e">
        <f t="shared" si="22"/>
        <v>#REF!</v>
      </c>
      <c r="E19" s="25" t="e">
        <f t="shared" si="22"/>
        <v>#REF!</v>
      </c>
      <c r="F19" s="25" t="e">
        <f>F18/F17</f>
        <v>#REF!</v>
      </c>
      <c r="G19" s="25" t="e">
        <f>G18/G17</f>
        <v>#REF!</v>
      </c>
      <c r="H19" s="25" t="e">
        <f>H18/H17</f>
        <v>#REF!</v>
      </c>
      <c r="I19" s="25"/>
      <c r="J19" s="25" t="e">
        <f t="shared" ref="J19:BU19" si="23">J18/J17</f>
        <v>#REF!</v>
      </c>
      <c r="K19" s="25" t="e">
        <f t="shared" si="23"/>
        <v>#REF!</v>
      </c>
      <c r="L19" s="25" t="e">
        <f t="shared" si="23"/>
        <v>#REF!</v>
      </c>
      <c r="M19" s="25" t="e">
        <f t="shared" si="23"/>
        <v>#REF!</v>
      </c>
      <c r="N19" s="25" t="e">
        <f t="shared" si="23"/>
        <v>#REF!</v>
      </c>
      <c r="O19" s="25" t="e">
        <f t="shared" si="23"/>
        <v>#REF!</v>
      </c>
      <c r="P19" s="25" t="e">
        <f t="shared" si="23"/>
        <v>#REF!</v>
      </c>
      <c r="Q19" s="25" t="e">
        <f t="shared" si="23"/>
        <v>#REF!</v>
      </c>
      <c r="R19" s="25" t="e">
        <f t="shared" si="23"/>
        <v>#REF!</v>
      </c>
      <c r="S19" s="25" t="e">
        <f t="shared" si="23"/>
        <v>#REF!</v>
      </c>
      <c r="T19" s="25" t="e">
        <f t="shared" si="23"/>
        <v>#REF!</v>
      </c>
      <c r="U19" s="25" t="e">
        <f t="shared" si="23"/>
        <v>#REF!</v>
      </c>
      <c r="V19" s="25" t="e">
        <f t="shared" si="23"/>
        <v>#REF!</v>
      </c>
      <c r="W19" s="25" t="e">
        <f t="shared" si="23"/>
        <v>#REF!</v>
      </c>
      <c r="X19" s="25" t="e">
        <f t="shared" si="23"/>
        <v>#REF!</v>
      </c>
      <c r="Y19" s="25" t="e">
        <f t="shared" si="23"/>
        <v>#REF!</v>
      </c>
      <c r="Z19" s="25" t="e">
        <f t="shared" si="23"/>
        <v>#REF!</v>
      </c>
      <c r="AA19" s="25" t="e">
        <f t="shared" si="23"/>
        <v>#REF!</v>
      </c>
      <c r="AB19" s="25" t="e">
        <f t="shared" si="23"/>
        <v>#REF!</v>
      </c>
      <c r="AC19" s="25" t="e">
        <f t="shared" si="23"/>
        <v>#REF!</v>
      </c>
      <c r="AD19" s="25" t="e">
        <f t="shared" si="23"/>
        <v>#REF!</v>
      </c>
      <c r="AE19" s="25" t="e">
        <f t="shared" si="23"/>
        <v>#REF!</v>
      </c>
      <c r="AF19" s="25" t="e">
        <f t="shared" si="23"/>
        <v>#REF!</v>
      </c>
      <c r="AG19" s="25" t="e">
        <f t="shared" si="23"/>
        <v>#REF!</v>
      </c>
      <c r="AH19" s="25" t="e">
        <f t="shared" si="23"/>
        <v>#REF!</v>
      </c>
      <c r="AI19" s="25" t="e">
        <f t="shared" si="23"/>
        <v>#REF!</v>
      </c>
      <c r="AJ19" s="25" t="e">
        <f t="shared" si="23"/>
        <v>#REF!</v>
      </c>
      <c r="AK19" s="25" t="e">
        <f t="shared" si="23"/>
        <v>#REF!</v>
      </c>
      <c r="AL19" s="25" t="e">
        <f t="shared" si="23"/>
        <v>#REF!</v>
      </c>
      <c r="AM19" s="25" t="e">
        <f t="shared" si="23"/>
        <v>#REF!</v>
      </c>
      <c r="AN19" s="25" t="e">
        <f t="shared" si="23"/>
        <v>#REF!</v>
      </c>
      <c r="AO19" s="25" t="e">
        <f t="shared" si="23"/>
        <v>#REF!</v>
      </c>
      <c r="AP19" s="25" t="e">
        <f t="shared" si="23"/>
        <v>#REF!</v>
      </c>
      <c r="AQ19" s="25" t="e">
        <f t="shared" si="23"/>
        <v>#REF!</v>
      </c>
      <c r="AR19" s="25" t="e">
        <f t="shared" si="23"/>
        <v>#REF!</v>
      </c>
      <c r="AS19" s="25" t="e">
        <f t="shared" si="23"/>
        <v>#REF!</v>
      </c>
      <c r="AT19" s="25" t="e">
        <f t="shared" si="23"/>
        <v>#REF!</v>
      </c>
      <c r="AU19" s="25" t="e">
        <f t="shared" si="23"/>
        <v>#REF!</v>
      </c>
      <c r="AV19" s="25" t="e">
        <f t="shared" si="23"/>
        <v>#REF!</v>
      </c>
      <c r="AW19" s="25" t="e">
        <f t="shared" si="23"/>
        <v>#REF!</v>
      </c>
      <c r="AX19" s="25" t="e">
        <f t="shared" si="23"/>
        <v>#REF!</v>
      </c>
      <c r="AY19" s="25" t="e">
        <f t="shared" si="23"/>
        <v>#REF!</v>
      </c>
      <c r="AZ19" s="25" t="e">
        <f t="shared" si="23"/>
        <v>#REF!</v>
      </c>
      <c r="BA19" s="25" t="e">
        <f t="shared" si="23"/>
        <v>#REF!</v>
      </c>
      <c r="BB19" s="25" t="e">
        <f t="shared" si="23"/>
        <v>#REF!</v>
      </c>
      <c r="BC19" s="25" t="e">
        <f t="shared" si="23"/>
        <v>#REF!</v>
      </c>
      <c r="BD19" s="25" t="e">
        <f t="shared" si="23"/>
        <v>#REF!</v>
      </c>
      <c r="BE19" s="25" t="e">
        <f t="shared" si="23"/>
        <v>#REF!</v>
      </c>
      <c r="BF19" s="25" t="e">
        <f t="shared" si="23"/>
        <v>#REF!</v>
      </c>
      <c r="BG19" s="25" t="e">
        <f t="shared" si="23"/>
        <v>#REF!</v>
      </c>
      <c r="BH19" s="25" t="e">
        <f t="shared" si="23"/>
        <v>#REF!</v>
      </c>
      <c r="BI19" s="25" t="e">
        <f t="shared" si="23"/>
        <v>#REF!</v>
      </c>
      <c r="BJ19" s="25" t="e">
        <f t="shared" si="23"/>
        <v>#REF!</v>
      </c>
      <c r="BK19" s="25" t="e">
        <f t="shared" si="23"/>
        <v>#REF!</v>
      </c>
      <c r="BL19" s="25" t="e">
        <f t="shared" si="23"/>
        <v>#REF!</v>
      </c>
      <c r="BM19" s="25" t="e">
        <f t="shared" si="23"/>
        <v>#REF!</v>
      </c>
      <c r="BN19" s="25" t="e">
        <f t="shared" si="23"/>
        <v>#REF!</v>
      </c>
      <c r="BO19" s="25" t="e">
        <f t="shared" si="23"/>
        <v>#REF!</v>
      </c>
      <c r="BP19" s="25" t="e">
        <f t="shared" si="23"/>
        <v>#REF!</v>
      </c>
      <c r="BQ19" s="25" t="e">
        <f t="shared" si="23"/>
        <v>#REF!</v>
      </c>
      <c r="BR19" s="25" t="e">
        <f t="shared" si="23"/>
        <v>#REF!</v>
      </c>
      <c r="BS19" s="25" t="e">
        <f t="shared" si="23"/>
        <v>#REF!</v>
      </c>
      <c r="BT19" s="25" t="e">
        <f t="shared" si="23"/>
        <v>#REF!</v>
      </c>
      <c r="BU19" s="25" t="e">
        <f t="shared" si="23"/>
        <v>#REF!</v>
      </c>
      <c r="BV19" s="25" t="e">
        <f t="shared" ref="BV19:CO19" si="24">BV18/BV17</f>
        <v>#REF!</v>
      </c>
      <c r="BW19" s="25" t="e">
        <f t="shared" si="24"/>
        <v>#REF!</v>
      </c>
      <c r="BX19" s="25" t="e">
        <f t="shared" si="24"/>
        <v>#REF!</v>
      </c>
      <c r="BY19" s="25" t="e">
        <f t="shared" si="24"/>
        <v>#REF!</v>
      </c>
      <c r="BZ19" s="25" t="e">
        <f t="shared" si="24"/>
        <v>#REF!</v>
      </c>
      <c r="CA19" s="25" t="e">
        <f t="shared" si="24"/>
        <v>#REF!</v>
      </c>
      <c r="CB19" s="25" t="e">
        <f t="shared" si="24"/>
        <v>#REF!</v>
      </c>
      <c r="CC19" s="25" t="e">
        <f t="shared" si="24"/>
        <v>#REF!</v>
      </c>
      <c r="CD19" s="25" t="e">
        <f t="shared" si="24"/>
        <v>#REF!</v>
      </c>
      <c r="CE19" s="25" t="e">
        <f t="shared" si="24"/>
        <v>#REF!</v>
      </c>
      <c r="CF19" s="25" t="e">
        <f t="shared" si="24"/>
        <v>#REF!</v>
      </c>
      <c r="CG19" s="25" t="e">
        <f t="shared" si="24"/>
        <v>#REF!</v>
      </c>
      <c r="CH19" s="25" t="e">
        <f t="shared" si="24"/>
        <v>#REF!</v>
      </c>
      <c r="CI19" s="25" t="e">
        <f t="shared" si="24"/>
        <v>#REF!</v>
      </c>
      <c r="CJ19" s="25" t="e">
        <f t="shared" si="24"/>
        <v>#REF!</v>
      </c>
      <c r="CK19" s="25" t="e">
        <f t="shared" si="24"/>
        <v>#REF!</v>
      </c>
      <c r="CL19" s="25" t="e">
        <f t="shared" si="24"/>
        <v>#REF!</v>
      </c>
      <c r="CM19" s="25" t="e">
        <f t="shared" si="24"/>
        <v>#REF!</v>
      </c>
      <c r="CN19" s="25" t="e">
        <f t="shared" si="24"/>
        <v>#REF!</v>
      </c>
      <c r="CO19" s="25" t="e">
        <f t="shared" si="24"/>
        <v>#REF!</v>
      </c>
    </row>
    <row r="21" spans="1:93" x14ac:dyDescent="0.2">
      <c r="B21" s="91"/>
      <c r="C21" s="91"/>
      <c r="D21" s="91"/>
    </row>
  </sheetData>
  <pageMargins left="0.5" right="0.5" top="0.5" bottom="0.5" header="0.5" footer="0.5"/>
  <pageSetup scale="53" orientation="portrait" horizontalDpi="4294967292" verticalDpi="4294967292"/>
  <colBreaks count="1" manualBreakCount="1">
    <brk id="18" max="4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3FBD-4C8D-004C-870C-9517D218A5EF}">
  <sheetPr>
    <pageSetUpPr fitToPage="1"/>
  </sheetPr>
  <dimension ref="A1:CO64"/>
  <sheetViews>
    <sheetView workbookViewId="0">
      <pane xSplit="1" ySplit="2" topLeftCell="B5" activePane="bottomRight" state="frozen"/>
      <selection activeCell="E30" sqref="E30"/>
      <selection pane="topRight" activeCell="E30" sqref="E30"/>
      <selection pane="bottomLeft" activeCell="E30" sqref="E30"/>
      <selection pane="bottomRight" activeCell="A41" sqref="A41"/>
    </sheetView>
  </sheetViews>
  <sheetFormatPr baseColWidth="10" defaultRowHeight="16" x14ac:dyDescent="0.2"/>
  <cols>
    <col min="1" max="1" width="31.33203125" customWidth="1"/>
    <col min="2" max="5" width="14.83203125" style="12" customWidth="1"/>
    <col min="6" max="6" width="15.33203125" style="12" bestFit="1" customWidth="1"/>
    <col min="7" max="7" width="14.83203125" style="12" customWidth="1"/>
    <col min="8" max="8" width="15.33203125" style="12" bestFit="1" customWidth="1"/>
    <col min="9" max="9" width="2.33203125" style="12" customWidth="1"/>
    <col min="10" max="10" width="8.83203125" style="3" customWidth="1"/>
    <col min="11" max="11" width="8" style="3" bestFit="1" customWidth="1"/>
    <col min="12" max="24" width="8.83203125" style="3" customWidth="1"/>
    <col min="25" max="35" width="9.33203125" style="3" bestFit="1" customWidth="1"/>
    <col min="36" max="39" width="10.83203125" style="3" bestFit="1" customWidth="1"/>
    <col min="40" max="49" width="10.83203125" style="3" customWidth="1"/>
    <col min="50" max="59" width="11.83203125" style="3" bestFit="1" customWidth="1"/>
    <col min="60" max="80" width="12.83203125" style="3" bestFit="1" customWidth="1"/>
    <col min="81" max="81" width="14.33203125" style="3" bestFit="1" customWidth="1"/>
    <col min="82" max="92" width="12.83203125" style="3" bestFit="1" customWidth="1"/>
    <col min="93" max="93" width="14.33203125" style="3" bestFit="1" customWidth="1"/>
  </cols>
  <sheetData>
    <row r="1" spans="1:93" s="6" customFormat="1" x14ac:dyDescent="0.2">
      <c r="B1" s="2">
        <v>2024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  <c r="I1" s="7"/>
      <c r="J1" s="6">
        <f>' Inputs'!B3</f>
        <v>45292</v>
      </c>
      <c r="K1" s="6">
        <f>J1+31</f>
        <v>45323</v>
      </c>
      <c r="L1" s="6">
        <f t="shared" ref="L1:BW1" si="0">K1+31</f>
        <v>45354</v>
      </c>
      <c r="M1" s="6">
        <f t="shared" si="0"/>
        <v>45385</v>
      </c>
      <c r="N1" s="6">
        <f t="shared" si="0"/>
        <v>45416</v>
      </c>
      <c r="O1" s="6">
        <f t="shared" si="0"/>
        <v>45447</v>
      </c>
      <c r="P1" s="6">
        <f t="shared" si="0"/>
        <v>45478</v>
      </c>
      <c r="Q1" s="6">
        <f t="shared" si="0"/>
        <v>45509</v>
      </c>
      <c r="R1" s="6">
        <f t="shared" si="0"/>
        <v>45540</v>
      </c>
      <c r="S1" s="6">
        <f t="shared" si="0"/>
        <v>45571</v>
      </c>
      <c r="T1" s="6">
        <f t="shared" si="0"/>
        <v>45602</v>
      </c>
      <c r="U1" s="6">
        <f t="shared" si="0"/>
        <v>45633</v>
      </c>
      <c r="V1" s="6">
        <f t="shared" si="0"/>
        <v>45664</v>
      </c>
      <c r="W1" s="6">
        <f t="shared" si="0"/>
        <v>45695</v>
      </c>
      <c r="X1" s="6">
        <f t="shared" si="0"/>
        <v>45726</v>
      </c>
      <c r="Y1" s="6">
        <f t="shared" si="0"/>
        <v>45757</v>
      </c>
      <c r="Z1" s="6">
        <f t="shared" si="0"/>
        <v>45788</v>
      </c>
      <c r="AA1" s="6">
        <f t="shared" si="0"/>
        <v>45819</v>
      </c>
      <c r="AB1" s="6">
        <f t="shared" si="0"/>
        <v>45850</v>
      </c>
      <c r="AC1" s="6">
        <f t="shared" si="0"/>
        <v>45881</v>
      </c>
      <c r="AD1" s="6">
        <f t="shared" si="0"/>
        <v>45912</v>
      </c>
      <c r="AE1" s="6">
        <f t="shared" si="0"/>
        <v>45943</v>
      </c>
      <c r="AF1" s="6">
        <f t="shared" si="0"/>
        <v>45974</v>
      </c>
      <c r="AG1" s="6">
        <f t="shared" si="0"/>
        <v>46005</v>
      </c>
      <c r="AH1" s="6">
        <f t="shared" si="0"/>
        <v>46036</v>
      </c>
      <c r="AI1" s="6">
        <f t="shared" si="0"/>
        <v>46067</v>
      </c>
      <c r="AJ1" s="6">
        <f t="shared" si="0"/>
        <v>46098</v>
      </c>
      <c r="AK1" s="6">
        <f t="shared" si="0"/>
        <v>46129</v>
      </c>
      <c r="AL1" s="6">
        <f t="shared" si="0"/>
        <v>46160</v>
      </c>
      <c r="AM1" s="6">
        <f t="shared" si="0"/>
        <v>46191</v>
      </c>
      <c r="AN1" s="6">
        <f t="shared" si="0"/>
        <v>46222</v>
      </c>
      <c r="AO1" s="6">
        <f t="shared" si="0"/>
        <v>46253</v>
      </c>
      <c r="AP1" s="6">
        <f t="shared" si="0"/>
        <v>46284</v>
      </c>
      <c r="AQ1" s="6">
        <f t="shared" si="0"/>
        <v>46315</v>
      </c>
      <c r="AR1" s="6">
        <f t="shared" si="0"/>
        <v>46346</v>
      </c>
      <c r="AS1" s="6">
        <f t="shared" si="0"/>
        <v>46377</v>
      </c>
      <c r="AT1" s="6">
        <f t="shared" si="0"/>
        <v>46408</v>
      </c>
      <c r="AU1" s="6">
        <f t="shared" si="0"/>
        <v>46439</v>
      </c>
      <c r="AV1" s="6">
        <f t="shared" si="0"/>
        <v>46470</v>
      </c>
      <c r="AW1" s="6">
        <f t="shared" si="0"/>
        <v>46501</v>
      </c>
      <c r="AX1" s="6">
        <f t="shared" si="0"/>
        <v>46532</v>
      </c>
      <c r="AY1" s="6">
        <f t="shared" si="0"/>
        <v>46563</v>
      </c>
      <c r="AZ1" s="6">
        <f t="shared" si="0"/>
        <v>46594</v>
      </c>
      <c r="BA1" s="6">
        <f t="shared" si="0"/>
        <v>46625</v>
      </c>
      <c r="BB1" s="6">
        <f t="shared" si="0"/>
        <v>46656</v>
      </c>
      <c r="BC1" s="6">
        <f t="shared" si="0"/>
        <v>46687</v>
      </c>
      <c r="BD1" s="6">
        <f t="shared" si="0"/>
        <v>46718</v>
      </c>
      <c r="BE1" s="6">
        <f t="shared" si="0"/>
        <v>46749</v>
      </c>
      <c r="BF1" s="6">
        <f t="shared" si="0"/>
        <v>46780</v>
      </c>
      <c r="BG1" s="6">
        <f t="shared" si="0"/>
        <v>46811</v>
      </c>
      <c r="BH1" s="6">
        <f t="shared" si="0"/>
        <v>46842</v>
      </c>
      <c r="BI1" s="6">
        <f t="shared" si="0"/>
        <v>46873</v>
      </c>
      <c r="BJ1" s="6">
        <f t="shared" si="0"/>
        <v>46904</v>
      </c>
      <c r="BK1" s="6">
        <f t="shared" si="0"/>
        <v>46935</v>
      </c>
      <c r="BL1" s="6">
        <f t="shared" si="0"/>
        <v>46966</v>
      </c>
      <c r="BM1" s="6">
        <f t="shared" si="0"/>
        <v>46997</v>
      </c>
      <c r="BN1" s="6">
        <f t="shared" si="0"/>
        <v>47028</v>
      </c>
      <c r="BO1" s="6">
        <f t="shared" si="0"/>
        <v>47059</v>
      </c>
      <c r="BP1" s="6">
        <f t="shared" si="0"/>
        <v>47090</v>
      </c>
      <c r="BQ1" s="6">
        <f t="shared" si="0"/>
        <v>47121</v>
      </c>
      <c r="BR1" s="6">
        <f t="shared" si="0"/>
        <v>47152</v>
      </c>
      <c r="BS1" s="6">
        <f t="shared" si="0"/>
        <v>47183</v>
      </c>
      <c r="BT1" s="6">
        <f t="shared" si="0"/>
        <v>47214</v>
      </c>
      <c r="BU1" s="6">
        <f t="shared" si="0"/>
        <v>47245</v>
      </c>
      <c r="BV1" s="6">
        <f t="shared" si="0"/>
        <v>47276</v>
      </c>
      <c r="BW1" s="6">
        <f t="shared" si="0"/>
        <v>47307</v>
      </c>
      <c r="BX1" s="6">
        <f t="shared" ref="BX1:CO1" si="1">BW1+31</f>
        <v>47338</v>
      </c>
      <c r="BY1" s="6">
        <f t="shared" si="1"/>
        <v>47369</v>
      </c>
      <c r="BZ1" s="6">
        <f t="shared" si="1"/>
        <v>47400</v>
      </c>
      <c r="CA1" s="6">
        <f t="shared" si="1"/>
        <v>47431</v>
      </c>
      <c r="CB1" s="6">
        <f t="shared" si="1"/>
        <v>47462</v>
      </c>
      <c r="CC1" s="6">
        <f t="shared" si="1"/>
        <v>47493</v>
      </c>
      <c r="CD1" s="6">
        <f t="shared" si="1"/>
        <v>47524</v>
      </c>
      <c r="CE1" s="6">
        <f t="shared" si="1"/>
        <v>47555</v>
      </c>
      <c r="CF1" s="6">
        <f t="shared" si="1"/>
        <v>47586</v>
      </c>
      <c r="CG1" s="6">
        <f t="shared" si="1"/>
        <v>47617</v>
      </c>
      <c r="CH1" s="6">
        <f t="shared" si="1"/>
        <v>47648</v>
      </c>
      <c r="CI1" s="6">
        <f t="shared" si="1"/>
        <v>47679</v>
      </c>
      <c r="CJ1" s="6">
        <f t="shared" si="1"/>
        <v>47710</v>
      </c>
      <c r="CK1" s="6">
        <f t="shared" si="1"/>
        <v>47741</v>
      </c>
      <c r="CL1" s="6">
        <f t="shared" si="1"/>
        <v>47772</v>
      </c>
      <c r="CM1" s="6">
        <f t="shared" si="1"/>
        <v>47803</v>
      </c>
      <c r="CN1" s="6">
        <f t="shared" si="1"/>
        <v>47834</v>
      </c>
      <c r="CO1" s="6">
        <f t="shared" si="1"/>
        <v>47865</v>
      </c>
    </row>
    <row r="2" spans="1:93" s="1" customFormat="1" x14ac:dyDescent="0.2">
      <c r="B2" s="21" t="s">
        <v>0</v>
      </c>
      <c r="C2" s="7" t="s">
        <v>1</v>
      </c>
      <c r="D2" s="21" t="s">
        <v>7</v>
      </c>
      <c r="E2" s="7" t="s">
        <v>8</v>
      </c>
      <c r="F2" s="21" t="s">
        <v>9</v>
      </c>
      <c r="G2" s="21" t="s">
        <v>24</v>
      </c>
      <c r="H2" s="21" t="s">
        <v>25</v>
      </c>
      <c r="I2" s="7"/>
      <c r="J2" s="2" t="str">
        <f t="shared" ref="J2:BU2" si="2">CONCATENATE("Month ", J3)</f>
        <v>Month 1</v>
      </c>
      <c r="K2" s="2" t="str">
        <f t="shared" si="2"/>
        <v>Month 2</v>
      </c>
      <c r="L2" s="2" t="str">
        <f t="shared" si="2"/>
        <v>Month 3</v>
      </c>
      <c r="M2" s="2" t="str">
        <f t="shared" si="2"/>
        <v>Month 4</v>
      </c>
      <c r="N2" s="2" t="str">
        <f t="shared" si="2"/>
        <v>Month 5</v>
      </c>
      <c r="O2" s="2" t="str">
        <f t="shared" si="2"/>
        <v>Month 6</v>
      </c>
      <c r="P2" s="2" t="str">
        <f t="shared" si="2"/>
        <v>Month 7</v>
      </c>
      <c r="Q2" s="2" t="str">
        <f t="shared" si="2"/>
        <v>Month 8</v>
      </c>
      <c r="R2" s="2" t="str">
        <f t="shared" si="2"/>
        <v>Month 9</v>
      </c>
      <c r="S2" s="2" t="str">
        <f t="shared" si="2"/>
        <v>Month 10</v>
      </c>
      <c r="T2" s="2" t="str">
        <f t="shared" si="2"/>
        <v>Month 11</v>
      </c>
      <c r="U2" s="2" t="str">
        <f t="shared" si="2"/>
        <v>Month 12</v>
      </c>
      <c r="V2" s="2" t="str">
        <f t="shared" si="2"/>
        <v>Month 13</v>
      </c>
      <c r="W2" s="2" t="str">
        <f t="shared" si="2"/>
        <v>Month 14</v>
      </c>
      <c r="X2" s="2" t="str">
        <f t="shared" si="2"/>
        <v>Month 15</v>
      </c>
      <c r="Y2" s="2" t="str">
        <f t="shared" si="2"/>
        <v>Month 16</v>
      </c>
      <c r="Z2" s="2" t="str">
        <f t="shared" si="2"/>
        <v>Month 17</v>
      </c>
      <c r="AA2" s="2" t="str">
        <f t="shared" si="2"/>
        <v>Month 18</v>
      </c>
      <c r="AB2" s="2" t="str">
        <f t="shared" si="2"/>
        <v>Month 19</v>
      </c>
      <c r="AC2" s="2" t="str">
        <f t="shared" si="2"/>
        <v>Month 20</v>
      </c>
      <c r="AD2" s="2" t="str">
        <f t="shared" si="2"/>
        <v>Month 21</v>
      </c>
      <c r="AE2" s="2" t="str">
        <f t="shared" si="2"/>
        <v>Month 22</v>
      </c>
      <c r="AF2" s="2" t="str">
        <f t="shared" si="2"/>
        <v>Month 23</v>
      </c>
      <c r="AG2" s="2" t="str">
        <f t="shared" si="2"/>
        <v>Month 24</v>
      </c>
      <c r="AH2" s="2" t="str">
        <f t="shared" si="2"/>
        <v>Month 25</v>
      </c>
      <c r="AI2" s="2" t="str">
        <f t="shared" si="2"/>
        <v>Month 26</v>
      </c>
      <c r="AJ2" s="2" t="str">
        <f t="shared" si="2"/>
        <v>Month 27</v>
      </c>
      <c r="AK2" s="2" t="str">
        <f t="shared" si="2"/>
        <v>Month 28</v>
      </c>
      <c r="AL2" s="2" t="str">
        <f t="shared" si="2"/>
        <v>Month 29</v>
      </c>
      <c r="AM2" s="2" t="str">
        <f t="shared" si="2"/>
        <v>Month 30</v>
      </c>
      <c r="AN2" s="2" t="str">
        <f t="shared" si="2"/>
        <v>Month 31</v>
      </c>
      <c r="AO2" s="2" t="str">
        <f t="shared" si="2"/>
        <v>Month 32</v>
      </c>
      <c r="AP2" s="2" t="str">
        <f t="shared" si="2"/>
        <v>Month 33</v>
      </c>
      <c r="AQ2" s="2" t="str">
        <f t="shared" si="2"/>
        <v>Month 34</v>
      </c>
      <c r="AR2" s="2" t="str">
        <f t="shared" si="2"/>
        <v>Month 35</v>
      </c>
      <c r="AS2" s="2" t="str">
        <f t="shared" si="2"/>
        <v>Month 36</v>
      </c>
      <c r="AT2" s="2" t="str">
        <f t="shared" si="2"/>
        <v>Month 37</v>
      </c>
      <c r="AU2" s="2" t="str">
        <f t="shared" si="2"/>
        <v>Month 38</v>
      </c>
      <c r="AV2" s="2" t="str">
        <f t="shared" si="2"/>
        <v>Month 39</v>
      </c>
      <c r="AW2" s="2" t="str">
        <f t="shared" si="2"/>
        <v>Month 40</v>
      </c>
      <c r="AX2" s="2" t="str">
        <f t="shared" si="2"/>
        <v>Month 41</v>
      </c>
      <c r="AY2" s="2" t="str">
        <f t="shared" si="2"/>
        <v>Month 42</v>
      </c>
      <c r="AZ2" s="2" t="str">
        <f t="shared" si="2"/>
        <v>Month 43</v>
      </c>
      <c r="BA2" s="2" t="str">
        <f t="shared" si="2"/>
        <v>Month 44</v>
      </c>
      <c r="BB2" s="2" t="str">
        <f t="shared" si="2"/>
        <v>Month 45</v>
      </c>
      <c r="BC2" s="2" t="str">
        <f t="shared" si="2"/>
        <v>Month 46</v>
      </c>
      <c r="BD2" s="2" t="str">
        <f t="shared" si="2"/>
        <v>Month 47</v>
      </c>
      <c r="BE2" s="2" t="str">
        <f t="shared" si="2"/>
        <v>Month 48</v>
      </c>
      <c r="BF2" s="2" t="str">
        <f t="shared" si="2"/>
        <v>Month 49</v>
      </c>
      <c r="BG2" s="2" t="str">
        <f t="shared" si="2"/>
        <v>Month 50</v>
      </c>
      <c r="BH2" s="2" t="str">
        <f t="shared" si="2"/>
        <v>Month 51</v>
      </c>
      <c r="BI2" s="2" t="str">
        <f t="shared" si="2"/>
        <v>Month 52</v>
      </c>
      <c r="BJ2" s="2" t="str">
        <f t="shared" si="2"/>
        <v>Month 53</v>
      </c>
      <c r="BK2" s="2" t="str">
        <f t="shared" si="2"/>
        <v>Month 54</v>
      </c>
      <c r="BL2" s="2" t="str">
        <f t="shared" si="2"/>
        <v>Month 55</v>
      </c>
      <c r="BM2" s="2" t="str">
        <f t="shared" si="2"/>
        <v>Month 56</v>
      </c>
      <c r="BN2" s="2" t="str">
        <f t="shared" si="2"/>
        <v>Month 57</v>
      </c>
      <c r="BO2" s="2" t="str">
        <f t="shared" si="2"/>
        <v>Month 58</v>
      </c>
      <c r="BP2" s="2" t="str">
        <f t="shared" si="2"/>
        <v>Month 59</v>
      </c>
      <c r="BQ2" s="2" t="str">
        <f t="shared" si="2"/>
        <v>Month 60</v>
      </c>
      <c r="BR2" s="2" t="str">
        <f t="shared" si="2"/>
        <v>Month 61</v>
      </c>
      <c r="BS2" s="2" t="str">
        <f t="shared" si="2"/>
        <v>Month 62</v>
      </c>
      <c r="BT2" s="2" t="str">
        <f t="shared" si="2"/>
        <v>Month 63</v>
      </c>
      <c r="BU2" s="2" t="str">
        <f t="shared" si="2"/>
        <v>Month 64</v>
      </c>
      <c r="BV2" s="2" t="str">
        <f t="shared" ref="BV2:CO2" si="3">CONCATENATE("Month ", BV3)</f>
        <v>Month 65</v>
      </c>
      <c r="BW2" s="2" t="str">
        <f t="shared" si="3"/>
        <v>Month 66</v>
      </c>
      <c r="BX2" s="2" t="str">
        <f t="shared" si="3"/>
        <v>Month 67</v>
      </c>
      <c r="BY2" s="2" t="str">
        <f t="shared" si="3"/>
        <v>Month 68</v>
      </c>
      <c r="BZ2" s="2" t="str">
        <f t="shared" si="3"/>
        <v>Month 69</v>
      </c>
      <c r="CA2" s="2" t="str">
        <f t="shared" si="3"/>
        <v>Month 70</v>
      </c>
      <c r="CB2" s="2" t="str">
        <f t="shared" si="3"/>
        <v>Month 71</v>
      </c>
      <c r="CC2" s="2" t="str">
        <f t="shared" si="3"/>
        <v>Month 72</v>
      </c>
      <c r="CD2" s="2" t="str">
        <f t="shared" si="3"/>
        <v>Month 73</v>
      </c>
      <c r="CE2" s="2" t="str">
        <f t="shared" si="3"/>
        <v>Month 74</v>
      </c>
      <c r="CF2" s="2" t="str">
        <f t="shared" si="3"/>
        <v>Month 75</v>
      </c>
      <c r="CG2" s="2" t="str">
        <f t="shared" si="3"/>
        <v>Month 76</v>
      </c>
      <c r="CH2" s="2" t="str">
        <f t="shared" si="3"/>
        <v>Month 77</v>
      </c>
      <c r="CI2" s="2" t="str">
        <f t="shared" si="3"/>
        <v>Month 78</v>
      </c>
      <c r="CJ2" s="2" t="str">
        <f t="shared" si="3"/>
        <v>Month 79</v>
      </c>
      <c r="CK2" s="2" t="str">
        <f t="shared" si="3"/>
        <v>Month 80</v>
      </c>
      <c r="CL2" s="2" t="str">
        <f t="shared" si="3"/>
        <v>Month 81</v>
      </c>
      <c r="CM2" s="2" t="str">
        <f t="shared" si="3"/>
        <v>Month 82</v>
      </c>
      <c r="CN2" s="2" t="str">
        <f t="shared" si="3"/>
        <v>Month 83</v>
      </c>
      <c r="CO2" s="2" t="str">
        <f t="shared" si="3"/>
        <v>Month 84</v>
      </c>
    </row>
    <row r="3" spans="1:93" s="9" customFormat="1" hidden="1" x14ac:dyDescent="0.2">
      <c r="B3" s="7"/>
      <c r="C3" s="7"/>
      <c r="D3" s="7"/>
      <c r="E3" s="7"/>
      <c r="F3" s="7"/>
      <c r="G3" s="7"/>
      <c r="H3" s="7"/>
      <c r="I3" s="7"/>
      <c r="J3" s="10">
        <v>1</v>
      </c>
      <c r="K3" s="10">
        <v>2</v>
      </c>
      <c r="L3" s="10">
        <v>3</v>
      </c>
      <c r="M3" s="10">
        <v>4</v>
      </c>
      <c r="N3" s="10">
        <v>5</v>
      </c>
      <c r="O3" s="10">
        <v>6</v>
      </c>
      <c r="P3" s="10">
        <v>7</v>
      </c>
      <c r="Q3" s="10">
        <v>8</v>
      </c>
      <c r="R3" s="10">
        <v>9</v>
      </c>
      <c r="S3" s="10">
        <v>10</v>
      </c>
      <c r="T3" s="10">
        <v>11</v>
      </c>
      <c r="U3" s="10">
        <v>12</v>
      </c>
      <c r="V3" s="10">
        <v>13</v>
      </c>
      <c r="W3" s="10">
        <v>14</v>
      </c>
      <c r="X3" s="10">
        <v>15</v>
      </c>
      <c r="Y3" s="10">
        <v>16</v>
      </c>
      <c r="Z3" s="10">
        <v>17</v>
      </c>
      <c r="AA3" s="10">
        <v>18</v>
      </c>
      <c r="AB3" s="10">
        <v>19</v>
      </c>
      <c r="AC3" s="10">
        <v>20</v>
      </c>
      <c r="AD3" s="10">
        <v>21</v>
      </c>
      <c r="AE3" s="10">
        <v>22</v>
      </c>
      <c r="AF3" s="10">
        <v>23</v>
      </c>
      <c r="AG3" s="10">
        <v>24</v>
      </c>
      <c r="AH3" s="10">
        <v>25</v>
      </c>
      <c r="AI3" s="10">
        <v>26</v>
      </c>
      <c r="AJ3" s="10">
        <v>27</v>
      </c>
      <c r="AK3" s="10">
        <v>28</v>
      </c>
      <c r="AL3" s="10">
        <v>29</v>
      </c>
      <c r="AM3" s="10">
        <v>30</v>
      </c>
      <c r="AN3" s="10">
        <v>31</v>
      </c>
      <c r="AO3" s="10">
        <v>32</v>
      </c>
      <c r="AP3" s="10">
        <v>33</v>
      </c>
      <c r="AQ3" s="10">
        <v>34</v>
      </c>
      <c r="AR3" s="10">
        <v>35</v>
      </c>
      <c r="AS3" s="10">
        <v>36</v>
      </c>
      <c r="AT3" s="10">
        <v>37</v>
      </c>
      <c r="AU3" s="10">
        <v>38</v>
      </c>
      <c r="AV3" s="10">
        <v>39</v>
      </c>
      <c r="AW3" s="10">
        <v>40</v>
      </c>
      <c r="AX3" s="10">
        <v>41</v>
      </c>
      <c r="AY3" s="10">
        <v>42</v>
      </c>
      <c r="AZ3" s="10">
        <v>43</v>
      </c>
      <c r="BA3" s="10">
        <v>44</v>
      </c>
      <c r="BB3" s="10">
        <v>45</v>
      </c>
      <c r="BC3" s="10">
        <v>46</v>
      </c>
      <c r="BD3" s="10">
        <v>47</v>
      </c>
      <c r="BE3" s="10">
        <v>48</v>
      </c>
      <c r="BF3" s="10">
        <v>49</v>
      </c>
      <c r="BG3" s="10">
        <v>50</v>
      </c>
      <c r="BH3" s="10">
        <v>51</v>
      </c>
      <c r="BI3" s="10">
        <v>52</v>
      </c>
      <c r="BJ3" s="10">
        <v>53</v>
      </c>
      <c r="BK3" s="10">
        <v>54</v>
      </c>
      <c r="BL3" s="10">
        <v>55</v>
      </c>
      <c r="BM3" s="10">
        <v>56</v>
      </c>
      <c r="BN3" s="10">
        <v>57</v>
      </c>
      <c r="BO3" s="10">
        <v>58</v>
      </c>
      <c r="BP3" s="10">
        <v>59</v>
      </c>
      <c r="BQ3" s="10">
        <v>60</v>
      </c>
      <c r="BR3" s="10">
        <v>61</v>
      </c>
      <c r="BS3" s="10">
        <v>62</v>
      </c>
      <c r="BT3" s="10">
        <v>63</v>
      </c>
      <c r="BU3" s="10">
        <v>64</v>
      </c>
      <c r="BV3" s="10">
        <v>65</v>
      </c>
      <c r="BW3" s="10">
        <v>66</v>
      </c>
      <c r="BX3" s="10">
        <v>67</v>
      </c>
      <c r="BY3" s="10">
        <v>68</v>
      </c>
      <c r="BZ3" s="10">
        <v>69</v>
      </c>
      <c r="CA3" s="10">
        <v>70</v>
      </c>
      <c r="CB3" s="10">
        <v>71</v>
      </c>
      <c r="CC3" s="10">
        <v>72</v>
      </c>
      <c r="CD3" s="10">
        <v>73</v>
      </c>
      <c r="CE3" s="10">
        <v>74</v>
      </c>
      <c r="CF3" s="10">
        <v>75</v>
      </c>
      <c r="CG3" s="10">
        <v>76</v>
      </c>
      <c r="CH3" s="10">
        <v>77</v>
      </c>
      <c r="CI3" s="10">
        <v>78</v>
      </c>
      <c r="CJ3" s="10">
        <v>79</v>
      </c>
      <c r="CK3" s="10">
        <v>80</v>
      </c>
      <c r="CL3" s="10">
        <v>81</v>
      </c>
      <c r="CM3" s="10">
        <v>82</v>
      </c>
      <c r="CN3" s="10">
        <v>83</v>
      </c>
      <c r="CO3" s="10">
        <v>84</v>
      </c>
    </row>
    <row r="4" spans="1:93" s="70" customFormat="1" x14ac:dyDescent="0.2">
      <c r="A4" s="71" t="s">
        <v>147</v>
      </c>
      <c r="B4" s="68"/>
      <c r="C4" s="68"/>
      <c r="D4" s="68"/>
      <c r="E4" s="68"/>
      <c r="F4" s="68"/>
      <c r="G4" s="68"/>
      <c r="H4" s="68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</row>
    <row r="5" spans="1:93" s="11" customFormat="1" x14ac:dyDescent="0.2">
      <c r="A5" s="9" t="s">
        <v>204</v>
      </c>
      <c r="B5" s="12"/>
      <c r="C5" s="12"/>
      <c r="D5" s="12"/>
      <c r="E5" s="12"/>
      <c r="F5" s="12"/>
      <c r="G5" s="12"/>
      <c r="H5" s="12"/>
      <c r="I5" s="12"/>
      <c r="J5" s="3"/>
      <c r="K5"/>
      <c r="L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</row>
    <row r="6" spans="1:93" s="11" customFormat="1" x14ac:dyDescent="0.2">
      <c r="A6" s="22" t="s">
        <v>205</v>
      </c>
      <c r="B6" s="27">
        <f>SUM(J6:U6)</f>
        <v>33.128190700000005</v>
      </c>
      <c r="C6" s="27">
        <f>SUM(V6:AG6)</f>
        <v>70.842263062304767</v>
      </c>
      <c r="D6" s="27">
        <f>SUM(AH6:AS6)</f>
        <v>301.09593802984995</v>
      </c>
      <c r="E6" s="27">
        <f>SUM(AT6:BE6)</f>
        <v>1762.1401136176767</v>
      </c>
      <c r="F6" s="27">
        <f>SUM(BF6:BQ6)</f>
        <v>9427.8903287424328</v>
      </c>
      <c r="G6" s="27">
        <f>SUM(BR6:CC6)</f>
        <v>50441.571225748798</v>
      </c>
      <c r="H6" s="27">
        <f>SUM(CD6:CO6)</f>
        <v>269875.02177082235</v>
      </c>
      <c r="I6" s="12"/>
      <c r="J6" s="3">
        <f>' Inputs'!B8</f>
        <v>0</v>
      </c>
      <c r="K6" s="3">
        <v>2</v>
      </c>
      <c r="L6" s="14">
        <v>5</v>
      </c>
      <c r="M6" s="14">
        <v>5</v>
      </c>
      <c r="N6" s="14">
        <v>5</v>
      </c>
      <c r="O6" s="14">
        <f>N13*' Inputs'!$C$8</f>
        <v>1.7000000000000002</v>
      </c>
      <c r="P6" s="14">
        <f>O13*' Inputs'!$C$8</f>
        <v>1.87</v>
      </c>
      <c r="Q6" s="14">
        <f>P13*' Inputs'!$C$8</f>
        <v>2.0569999999999999</v>
      </c>
      <c r="R6" s="14">
        <f>Q13*' Inputs'!$C$8</f>
        <v>2.2627000000000002</v>
      </c>
      <c r="S6" s="14">
        <f>R13*' Inputs'!$C$8</f>
        <v>2.4889700000000001</v>
      </c>
      <c r="T6" s="14">
        <f>S13*' Inputs'!$C$8</f>
        <v>2.7378670000000001</v>
      </c>
      <c r="U6" s="14">
        <f>T13*' Inputs'!$C$8</f>
        <v>3.0116537000000001</v>
      </c>
      <c r="V6" s="13">
        <f>U13*' Inputs'!$D$8</f>
        <v>3.3128190700000006</v>
      </c>
      <c r="W6" s="13">
        <f>V13*' Inputs'!$D$8</f>
        <v>3.6441009770000008</v>
      </c>
      <c r="X6" s="13">
        <f>W13*' Inputs'!$D$8</f>
        <v>4.0085110747000012</v>
      </c>
      <c r="Y6" s="13">
        <f>X13*' Inputs'!$D$8</f>
        <v>4.4093621821700015</v>
      </c>
      <c r="Z6" s="13">
        <f>Y13*' Inputs'!$D$8</f>
        <v>4.8502984003870013</v>
      </c>
      <c r="AA6" s="13">
        <f>Z13*' Inputs'!$D$8</f>
        <v>5.3353282404257021</v>
      </c>
      <c r="AB6" s="13">
        <f>AA13*' Inputs'!$D$8</f>
        <v>5.8688610644682724</v>
      </c>
      <c r="AC6" s="13">
        <f>AB13*' Inputs'!$D$8</f>
        <v>6.4557471709150995</v>
      </c>
      <c r="AD6" s="13">
        <f>AC13*' Inputs'!$D$8</f>
        <v>7.1013218880066091</v>
      </c>
      <c r="AE6" s="13">
        <f>AD13*' Inputs'!$D$8</f>
        <v>7.8114540768072702</v>
      </c>
      <c r="AF6" s="13">
        <f>AE13*' Inputs'!$D$8</f>
        <v>8.5925994844879963</v>
      </c>
      <c r="AG6" s="13">
        <f>AF13*' Inputs'!$D$8</f>
        <v>9.4518594329367964</v>
      </c>
      <c r="AH6" s="13">
        <f>AG13*' Inputs'!$E$8</f>
        <v>12.47645445147657</v>
      </c>
      <c r="AI6" s="13">
        <f>AH13*' Inputs'!$E$8</f>
        <v>13.973628985653759</v>
      </c>
      <c r="AJ6" s="13">
        <f>AI13*' Inputs'!$E$8</f>
        <v>15.650464463932208</v>
      </c>
      <c r="AK6" s="13">
        <f>AJ13*' Inputs'!$E$8</f>
        <v>17.52852019960407</v>
      </c>
      <c r="AL6" s="13">
        <f>AK13*' Inputs'!$E$8</f>
        <v>19.631942623556558</v>
      </c>
      <c r="AM6" s="13">
        <f>AL13*' Inputs'!$E$8</f>
        <v>21.987775738383348</v>
      </c>
      <c r="AN6" s="13">
        <f>AM13*' Inputs'!$E$8</f>
        <v>24.626308826989348</v>
      </c>
      <c r="AO6" s="13">
        <f>AN13*' Inputs'!$E$8</f>
        <v>27.581465886228067</v>
      </c>
      <c r="AP6" s="13">
        <f>AO13*' Inputs'!$E$8</f>
        <v>30.891241792575435</v>
      </c>
      <c r="AQ6" s="13">
        <f>AP13*' Inputs'!$E$8</f>
        <v>34.598190807684489</v>
      </c>
      <c r="AR6" s="13">
        <f>AQ13*' Inputs'!$E$8</f>
        <v>38.749973704606631</v>
      </c>
      <c r="AS6" s="13">
        <f>AR13*' Inputs'!$E$8</f>
        <v>43.399970549159427</v>
      </c>
      <c r="AT6" s="13">
        <f>AS13*' Inputs'!$F$8</f>
        <v>60.759958768823196</v>
      </c>
      <c r="AU6" s="13">
        <f>AT13*' Inputs'!$F$8</f>
        <v>69.873952584146679</v>
      </c>
      <c r="AV6" s="13">
        <f>AU13*' Inputs'!$F$8</f>
        <v>80.355045471768676</v>
      </c>
      <c r="AW6" s="13">
        <f>AV13*' Inputs'!$F$8</f>
        <v>92.408302292533975</v>
      </c>
      <c r="AX6" s="13">
        <f>AW13*' Inputs'!$F$8</f>
        <v>106.26954763641407</v>
      </c>
      <c r="AY6" s="13">
        <f>AX13*' Inputs'!$F$8</f>
        <v>122.2099797818762</v>
      </c>
      <c r="AZ6" s="13">
        <f>AY13*' Inputs'!$F$8</f>
        <v>140.54147674915762</v>
      </c>
      <c r="BA6" s="13">
        <f>AZ13*' Inputs'!$F$8</f>
        <v>161.62269826153127</v>
      </c>
      <c r="BB6" s="13">
        <f>BA13*' Inputs'!$F$8</f>
        <v>185.86610300076097</v>
      </c>
      <c r="BC6" s="13">
        <f>BB13*' Inputs'!$F$8</f>
        <v>213.74601845087514</v>
      </c>
      <c r="BD6" s="13">
        <f>BC13*' Inputs'!$F$8</f>
        <v>245.80792121850641</v>
      </c>
      <c r="BE6" s="13">
        <f>BD13*' Inputs'!$F$8</f>
        <v>282.67910940128235</v>
      </c>
      <c r="BF6" s="13">
        <f>BE13*' Inputs'!$G$8</f>
        <v>325.08097581147473</v>
      </c>
      <c r="BG6" s="13">
        <f>BF13*' Inputs'!$G$8</f>
        <v>373.84312218319593</v>
      </c>
      <c r="BH6" s="13">
        <f>BG13*' Inputs'!$G$8</f>
        <v>429.91959051067533</v>
      </c>
      <c r="BI6" s="13">
        <f>BH13*' Inputs'!$G$8</f>
        <v>494.40752908727666</v>
      </c>
      <c r="BJ6" s="13">
        <f>BI13*' Inputs'!$G$8</f>
        <v>568.56865845036816</v>
      </c>
      <c r="BK6" s="13">
        <f>BJ13*' Inputs'!$G$8</f>
        <v>653.85395721792338</v>
      </c>
      <c r="BL6" s="13">
        <f>BK13*' Inputs'!$G$8</f>
        <v>751.93205080061182</v>
      </c>
      <c r="BM6" s="13">
        <f>BL13*' Inputs'!$G$8</f>
        <v>864.72185842070371</v>
      </c>
      <c r="BN6" s="13">
        <f>BM13*' Inputs'!$G$8</f>
        <v>994.43013718380928</v>
      </c>
      <c r="BO6" s="13">
        <f>BN13*' Inputs'!$G$8</f>
        <v>1143.5946577613806</v>
      </c>
      <c r="BP6" s="13">
        <f>BO13*' Inputs'!$G$8</f>
        <v>1315.1338564255877</v>
      </c>
      <c r="BQ6" s="13">
        <f>BP13*' Inputs'!$G$8</f>
        <v>1512.403934889426</v>
      </c>
      <c r="BR6" s="13">
        <f>BQ13*' Inputs'!$H$8</f>
        <v>1739.2645251228398</v>
      </c>
      <c r="BS6" s="13">
        <f>BR13*' Inputs'!$H$8</f>
        <v>2000.1542038912658</v>
      </c>
      <c r="BT6" s="13">
        <f>BS13*' Inputs'!$H$8</f>
        <v>2300.1773344749558</v>
      </c>
      <c r="BU6" s="13">
        <f>BT13*' Inputs'!$H$8</f>
        <v>2645.2039346461993</v>
      </c>
      <c r="BV6" s="13">
        <f>BU13*' Inputs'!$H$8</f>
        <v>3041.9845248431293</v>
      </c>
      <c r="BW6" s="13">
        <f>BV13*' Inputs'!$H$8</f>
        <v>3498.282203569599</v>
      </c>
      <c r="BX6" s="13">
        <f>BW13*' Inputs'!$H$8</f>
        <v>4023.024534105039</v>
      </c>
      <c r="BY6" s="13">
        <f>BX13*' Inputs'!$H$8</f>
        <v>4626.4782142207951</v>
      </c>
      <c r="BZ6" s="13">
        <f>BY13*' Inputs'!$H$8</f>
        <v>5320.449946353915</v>
      </c>
      <c r="CA6" s="13">
        <f>BZ13*' Inputs'!$H$8</f>
        <v>6118.5174383070025</v>
      </c>
      <c r="CB6" s="13">
        <f>CA13*' Inputs'!$H$8</f>
        <v>7036.2950540530528</v>
      </c>
      <c r="CC6" s="13">
        <f>CB13*' Inputs'!$H$8</f>
        <v>8091.7393121610103</v>
      </c>
      <c r="CD6" s="13">
        <f>CC13*' Inputs'!$H$8</f>
        <v>9305.5002089851623</v>
      </c>
      <c r="CE6" s="13">
        <f>CD13*' Inputs'!$H$8</f>
        <v>10701.325240332937</v>
      </c>
      <c r="CF6" s="13">
        <f>CE13*' Inputs'!$H$8</f>
        <v>12306.524026382878</v>
      </c>
      <c r="CG6" s="13">
        <f>CF13*' Inputs'!$H$8</f>
        <v>14152.502630340308</v>
      </c>
      <c r="CH6" s="13">
        <f>CG13*' Inputs'!$H$8</f>
        <v>16275.378024891355</v>
      </c>
      <c r="CI6" s="13">
        <f>CH13*' Inputs'!$H$8</f>
        <v>18716.68472862506</v>
      </c>
      <c r="CJ6" s="13">
        <f>CI13*' Inputs'!$H$8</f>
        <v>21524.187437918819</v>
      </c>
      <c r="CK6" s="13">
        <f>CJ13*' Inputs'!$H$8</f>
        <v>24752.815553606644</v>
      </c>
      <c r="CL6" s="13">
        <f>CK13*' Inputs'!$H$8</f>
        <v>28465.737886647639</v>
      </c>
      <c r="CM6" s="13">
        <f>CL13*' Inputs'!$H$8</f>
        <v>32735.598569644782</v>
      </c>
      <c r="CN6" s="13">
        <f>CM13*' Inputs'!$H$8</f>
        <v>37645.938355091501</v>
      </c>
      <c r="CO6" s="13">
        <f>CN13*' Inputs'!$H$8</f>
        <v>43292.829108355225</v>
      </c>
    </row>
    <row r="7" spans="1:93" s="11" customFormat="1" x14ac:dyDescent="0.2">
      <c r="A7" s="72" t="s">
        <v>150</v>
      </c>
      <c r="B7" s="25">
        <f>' Inputs'!C7</f>
        <v>0.05</v>
      </c>
      <c r="C7" s="25">
        <f>' Inputs'!D7</f>
        <v>0.25</v>
      </c>
      <c r="D7" s="25">
        <f>' Inputs'!E7</f>
        <v>0.5</v>
      </c>
      <c r="E7" s="25">
        <f>' Inputs'!F7</f>
        <v>0.5</v>
      </c>
      <c r="F7" s="25">
        <f>' Inputs'!G7</f>
        <v>0.5</v>
      </c>
      <c r="G7" s="25">
        <f>' Inputs'!H7</f>
        <v>0.5</v>
      </c>
      <c r="H7" s="25">
        <f>' Inputs'!I7</f>
        <v>0.5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</row>
    <row r="8" spans="1:93" s="11" customFormat="1" x14ac:dyDescent="0.2">
      <c r="A8" s="72" t="s">
        <v>206</v>
      </c>
      <c r="B8" s="27">
        <f>B6*B7</f>
        <v>1.6564095350000003</v>
      </c>
      <c r="C8" s="27">
        <f t="shared" ref="C8:H8" si="4">C6*C7</f>
        <v>17.710565765576192</v>
      </c>
      <c r="D8" s="27">
        <f t="shared" si="4"/>
        <v>150.54796901492497</v>
      </c>
      <c r="E8" s="27">
        <f t="shared" si="4"/>
        <v>881.07005680883833</v>
      </c>
      <c r="F8" s="27">
        <f t="shared" si="4"/>
        <v>4713.9451643712164</v>
      </c>
      <c r="G8" s="27">
        <f t="shared" si="4"/>
        <v>25220.785612874399</v>
      </c>
      <c r="H8" s="27">
        <f t="shared" si="4"/>
        <v>134937.51088541117</v>
      </c>
      <c r="I8" s="12"/>
      <c r="J8" s="3"/>
      <c r="K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</row>
    <row r="9" spans="1:93" s="11" customFormat="1" x14ac:dyDescent="0.2">
      <c r="A9" s="72" t="s">
        <v>207</v>
      </c>
      <c r="B9" s="13">
        <f>B6-B8</f>
        <v>31.471781165000003</v>
      </c>
      <c r="C9" s="13">
        <f t="shared" ref="C9:H9" si="5">C6-C8</f>
        <v>53.131697296728575</v>
      </c>
      <c r="D9" s="13">
        <f t="shared" si="5"/>
        <v>150.54796901492497</v>
      </c>
      <c r="E9" s="13">
        <f t="shared" si="5"/>
        <v>881.07005680883833</v>
      </c>
      <c r="F9" s="13">
        <f t="shared" si="5"/>
        <v>4713.9451643712164</v>
      </c>
      <c r="G9" s="13">
        <f t="shared" si="5"/>
        <v>25220.785612874399</v>
      </c>
      <c r="H9" s="13">
        <f t="shared" si="5"/>
        <v>134937.51088541117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</row>
    <row r="10" spans="1:93" s="11" customFormat="1" x14ac:dyDescent="0.2">
      <c r="A10" s="22" t="s">
        <v>209</v>
      </c>
      <c r="B10" s="12">
        <f>' Inputs'!C6</f>
        <v>50</v>
      </c>
      <c r="C10" s="12">
        <f>' Inputs'!D6</f>
        <v>50</v>
      </c>
      <c r="D10" s="12">
        <f>' Inputs'!E6</f>
        <v>50</v>
      </c>
      <c r="E10" s="12">
        <f>' Inputs'!F6</f>
        <v>50</v>
      </c>
      <c r="F10" s="12">
        <f>' Inputs'!G6</f>
        <v>50</v>
      </c>
      <c r="G10" s="12">
        <f>' Inputs'!H6</f>
        <v>50</v>
      </c>
      <c r="H10" s="12">
        <f>' Inputs'!I6</f>
        <v>50</v>
      </c>
      <c r="I10" s="12"/>
      <c r="J10" s="3"/>
      <c r="K10"/>
      <c r="L1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3" s="11" customFormat="1" x14ac:dyDescent="0.2">
      <c r="A11" s="22" t="s">
        <v>210</v>
      </c>
      <c r="B11" s="12">
        <f>B9*B10</f>
        <v>1573.5890582500001</v>
      </c>
      <c r="C11" s="12">
        <f t="shared" ref="C11:H11" si="6">C9*C10</f>
        <v>2656.5848648364286</v>
      </c>
      <c r="D11" s="12">
        <f t="shared" si="6"/>
        <v>7527.3984507462483</v>
      </c>
      <c r="E11" s="12">
        <f t="shared" si="6"/>
        <v>44053.502840441914</v>
      </c>
      <c r="F11" s="12">
        <f t="shared" si="6"/>
        <v>235697.25821856083</v>
      </c>
      <c r="G11" s="12">
        <f t="shared" si="6"/>
        <v>1261039.2806437199</v>
      </c>
      <c r="H11" s="12">
        <f t="shared" si="6"/>
        <v>6746875.5442705583</v>
      </c>
      <c r="I11" s="12"/>
      <c r="J11" s="3"/>
      <c r="K11"/>
      <c r="L1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3" s="11" customFormat="1" x14ac:dyDescent="0.2">
      <c r="A12" s="22" t="s">
        <v>211</v>
      </c>
      <c r="B12" s="27">
        <f>B6*churn1</f>
        <v>1.6564095350000003</v>
      </c>
      <c r="C12" s="27">
        <f>C6*churn2</f>
        <v>3.5421131531152383</v>
      </c>
      <c r="D12" s="27">
        <f>D6*churn3</f>
        <v>15.054796901492498</v>
      </c>
      <c r="E12" s="27">
        <f>E6*churn4</f>
        <v>88.107005680883844</v>
      </c>
      <c r="F12" s="27">
        <f>F6*churn5</f>
        <v>471.39451643712164</v>
      </c>
      <c r="G12" s="27">
        <f>G6*churn6</f>
        <v>2522.0785612874402</v>
      </c>
      <c r="H12" s="27">
        <f>H6*churn7</f>
        <v>13493.751088541117</v>
      </c>
      <c r="I12" s="12"/>
      <c r="J12" s="3"/>
      <c r="K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</row>
    <row r="13" spans="1:93" s="11" customFormat="1" x14ac:dyDescent="0.2">
      <c r="A13" s="82" t="s">
        <v>212</v>
      </c>
      <c r="B13" s="83">
        <f>B6-B12</f>
        <v>31.471781165000003</v>
      </c>
      <c r="C13" s="83">
        <f>B13+C6-C12</f>
        <v>98.771931074189538</v>
      </c>
      <c r="D13" s="83">
        <f>AS13-D12</f>
        <v>390.01159489066214</v>
      </c>
      <c r="E13" s="83">
        <f>BE13-E12</f>
        <v>2079.0994997289476</v>
      </c>
      <c r="F13" s="83">
        <f>BQ13-F12</f>
        <v>11123.702317715144</v>
      </c>
      <c r="G13" s="83">
        <f>CC13-G12</f>
        <v>59514.589498613641</v>
      </c>
      <c r="H13" s="83">
        <f>CO13-H12</f>
        <v>318417.93874218228</v>
      </c>
      <c r="I13" s="12"/>
      <c r="J13" s="3">
        <v>0</v>
      </c>
      <c r="K13" s="3">
        <f t="shared" ref="K13:BV13" si="7">J13+K6</f>
        <v>2</v>
      </c>
      <c r="L13" s="14">
        <f t="shared" si="7"/>
        <v>7</v>
      </c>
      <c r="M13" s="14">
        <f t="shared" si="7"/>
        <v>12</v>
      </c>
      <c r="N13" s="14">
        <f t="shared" si="7"/>
        <v>17</v>
      </c>
      <c r="O13" s="14">
        <f t="shared" si="7"/>
        <v>18.7</v>
      </c>
      <c r="P13" s="14">
        <f t="shared" si="7"/>
        <v>20.57</v>
      </c>
      <c r="Q13" s="14">
        <f t="shared" si="7"/>
        <v>22.626999999999999</v>
      </c>
      <c r="R13" s="14">
        <f t="shared" si="7"/>
        <v>24.889699999999998</v>
      </c>
      <c r="S13" s="14">
        <f t="shared" si="7"/>
        <v>27.37867</v>
      </c>
      <c r="T13" s="14">
        <f t="shared" si="7"/>
        <v>30.116537000000001</v>
      </c>
      <c r="U13" s="14">
        <f t="shared" si="7"/>
        <v>33.128190700000005</v>
      </c>
      <c r="V13" s="13">
        <f t="shared" si="7"/>
        <v>36.441009770000008</v>
      </c>
      <c r="W13" s="13">
        <f t="shared" si="7"/>
        <v>40.085110747000009</v>
      </c>
      <c r="X13" s="13">
        <f t="shared" si="7"/>
        <v>44.093621821700012</v>
      </c>
      <c r="Y13" s="13">
        <f t="shared" si="7"/>
        <v>48.502984003870012</v>
      </c>
      <c r="Z13" s="13">
        <f t="shared" si="7"/>
        <v>53.353282404257016</v>
      </c>
      <c r="AA13" s="13">
        <f t="shared" si="7"/>
        <v>58.688610644682718</v>
      </c>
      <c r="AB13" s="13">
        <f t="shared" si="7"/>
        <v>64.557471709150988</v>
      </c>
      <c r="AC13" s="13">
        <f t="shared" si="7"/>
        <v>71.013218880066091</v>
      </c>
      <c r="AD13" s="13">
        <f t="shared" si="7"/>
        <v>78.1145407680727</v>
      </c>
      <c r="AE13" s="13">
        <f t="shared" si="7"/>
        <v>85.925994844879966</v>
      </c>
      <c r="AF13" s="13">
        <f t="shared" si="7"/>
        <v>94.518594329367957</v>
      </c>
      <c r="AG13" s="13">
        <f t="shared" si="7"/>
        <v>103.97045376230476</v>
      </c>
      <c r="AH13" s="13">
        <f t="shared" si="7"/>
        <v>116.44690821378133</v>
      </c>
      <c r="AI13" s="13">
        <f t="shared" si="7"/>
        <v>130.42053719943507</v>
      </c>
      <c r="AJ13" s="13">
        <f t="shared" si="7"/>
        <v>146.07100166336727</v>
      </c>
      <c r="AK13" s="13">
        <f t="shared" si="7"/>
        <v>163.59952186297133</v>
      </c>
      <c r="AL13" s="13">
        <f t="shared" si="7"/>
        <v>183.2314644865279</v>
      </c>
      <c r="AM13" s="13">
        <f t="shared" si="7"/>
        <v>205.21924022491123</v>
      </c>
      <c r="AN13" s="13">
        <f t="shared" si="7"/>
        <v>229.84554905190058</v>
      </c>
      <c r="AO13" s="13">
        <f t="shared" si="7"/>
        <v>257.42701493812865</v>
      </c>
      <c r="AP13" s="13">
        <f t="shared" si="7"/>
        <v>288.31825673070409</v>
      </c>
      <c r="AQ13" s="13">
        <f t="shared" si="7"/>
        <v>322.91644753838858</v>
      </c>
      <c r="AR13" s="13">
        <f t="shared" si="7"/>
        <v>361.66642124299523</v>
      </c>
      <c r="AS13" s="13">
        <f t="shared" si="7"/>
        <v>405.06639179215466</v>
      </c>
      <c r="AT13" s="13">
        <f t="shared" si="7"/>
        <v>465.82635056097786</v>
      </c>
      <c r="AU13" s="13">
        <f t="shared" si="7"/>
        <v>535.70030314512451</v>
      </c>
      <c r="AV13" s="13">
        <f t="shared" si="7"/>
        <v>616.05534861689318</v>
      </c>
      <c r="AW13" s="13">
        <f t="shared" si="7"/>
        <v>708.4636509094272</v>
      </c>
      <c r="AX13" s="13">
        <f t="shared" si="7"/>
        <v>814.73319854584133</v>
      </c>
      <c r="AY13" s="13">
        <f t="shared" si="7"/>
        <v>936.94317832771753</v>
      </c>
      <c r="AZ13" s="13">
        <f t="shared" si="7"/>
        <v>1077.4846550768752</v>
      </c>
      <c r="BA13" s="13">
        <f t="shared" si="7"/>
        <v>1239.1073533384065</v>
      </c>
      <c r="BB13" s="13">
        <f t="shared" si="7"/>
        <v>1424.9734563391676</v>
      </c>
      <c r="BC13" s="13">
        <f t="shared" si="7"/>
        <v>1638.7194747900428</v>
      </c>
      <c r="BD13" s="13">
        <f t="shared" si="7"/>
        <v>1884.5273960085492</v>
      </c>
      <c r="BE13" s="13">
        <f t="shared" si="7"/>
        <v>2167.2065054098316</v>
      </c>
      <c r="BF13" s="13">
        <f t="shared" si="7"/>
        <v>2492.2874812213063</v>
      </c>
      <c r="BG13" s="13">
        <f t="shared" si="7"/>
        <v>2866.1306034045024</v>
      </c>
      <c r="BH13" s="13">
        <f t="shared" si="7"/>
        <v>3296.0501939151777</v>
      </c>
      <c r="BI13" s="13">
        <f t="shared" si="7"/>
        <v>3790.4577230024543</v>
      </c>
      <c r="BJ13" s="13">
        <f t="shared" si="7"/>
        <v>4359.0263814528225</v>
      </c>
      <c r="BK13" s="13">
        <f t="shared" si="7"/>
        <v>5012.8803386707459</v>
      </c>
      <c r="BL13" s="13">
        <f t="shared" si="7"/>
        <v>5764.8123894713581</v>
      </c>
      <c r="BM13" s="13">
        <f t="shared" si="7"/>
        <v>6629.534247892062</v>
      </c>
      <c r="BN13" s="13">
        <f t="shared" si="7"/>
        <v>7623.9643850758712</v>
      </c>
      <c r="BO13" s="13">
        <f t="shared" si="7"/>
        <v>8767.5590428372525</v>
      </c>
      <c r="BP13" s="13">
        <f t="shared" si="7"/>
        <v>10082.69289926284</v>
      </c>
      <c r="BQ13" s="13">
        <f t="shared" si="7"/>
        <v>11595.096834152266</v>
      </c>
      <c r="BR13" s="13">
        <f t="shared" si="7"/>
        <v>13334.361359275106</v>
      </c>
      <c r="BS13" s="13">
        <f t="shared" si="7"/>
        <v>15334.515563166373</v>
      </c>
      <c r="BT13" s="13">
        <f t="shared" si="7"/>
        <v>17634.692897641329</v>
      </c>
      <c r="BU13" s="13">
        <f t="shared" si="7"/>
        <v>20279.89683228753</v>
      </c>
      <c r="BV13" s="13">
        <f t="shared" si="7"/>
        <v>23321.88135713066</v>
      </c>
      <c r="BW13" s="13">
        <f t="shared" ref="BW13:CO13" si="8">BV13+BW6</f>
        <v>26820.163560700261</v>
      </c>
      <c r="BX13" s="13">
        <f t="shared" si="8"/>
        <v>30843.1880948053</v>
      </c>
      <c r="BY13" s="13">
        <f t="shared" si="8"/>
        <v>35469.666309026099</v>
      </c>
      <c r="BZ13" s="13">
        <f t="shared" si="8"/>
        <v>40790.116255380017</v>
      </c>
      <c r="CA13" s="13">
        <f t="shared" si="8"/>
        <v>46908.633693687021</v>
      </c>
      <c r="CB13" s="13">
        <f t="shared" si="8"/>
        <v>53944.928747740072</v>
      </c>
      <c r="CC13" s="13">
        <f t="shared" si="8"/>
        <v>62036.66805990108</v>
      </c>
      <c r="CD13" s="13">
        <f t="shared" si="8"/>
        <v>71342.168268886249</v>
      </c>
      <c r="CE13" s="13">
        <f t="shared" si="8"/>
        <v>82043.493509219188</v>
      </c>
      <c r="CF13" s="13">
        <f t="shared" si="8"/>
        <v>94350.017535602063</v>
      </c>
      <c r="CG13" s="13">
        <f t="shared" si="8"/>
        <v>108502.52016594238</v>
      </c>
      <c r="CH13" s="13">
        <f t="shared" si="8"/>
        <v>124777.89819083373</v>
      </c>
      <c r="CI13" s="13">
        <f t="shared" si="8"/>
        <v>143494.5829194588</v>
      </c>
      <c r="CJ13" s="13">
        <f t="shared" si="8"/>
        <v>165018.77035737762</v>
      </c>
      <c r="CK13" s="13">
        <f t="shared" si="8"/>
        <v>189771.58591098426</v>
      </c>
      <c r="CL13" s="13">
        <f t="shared" si="8"/>
        <v>218237.32379763189</v>
      </c>
      <c r="CM13" s="13">
        <f t="shared" si="8"/>
        <v>250972.92236727668</v>
      </c>
      <c r="CN13" s="13">
        <f t="shared" si="8"/>
        <v>288618.86072236818</v>
      </c>
      <c r="CO13" s="13">
        <f t="shared" si="8"/>
        <v>331911.68983072339</v>
      </c>
    </row>
    <row r="14" spans="1:93" s="11" customFormat="1" x14ac:dyDescent="0.2">
      <c r="B14" s="27"/>
      <c r="C14" s="27"/>
      <c r="D14" s="27"/>
      <c r="E14" s="27"/>
      <c r="F14" s="27"/>
      <c r="G14" s="27"/>
      <c r="H14" s="27"/>
      <c r="I14" s="12"/>
      <c r="J14" s="3"/>
      <c r="K14"/>
      <c r="L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</row>
    <row r="15" spans="1:93" s="11" customFormat="1" x14ac:dyDescent="0.2">
      <c r="A15" s="94" t="s">
        <v>208</v>
      </c>
      <c r="B15" s="14"/>
      <c r="C15" s="14"/>
      <c r="D15" s="14"/>
      <c r="E15" s="14"/>
      <c r="F15" s="14"/>
      <c r="G15" s="14"/>
      <c r="H15" s="14"/>
      <c r="I15" s="12"/>
      <c r="J15" s="3"/>
      <c r="K15"/>
      <c r="L1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</row>
    <row r="16" spans="1:93" s="11" customFormat="1" x14ac:dyDescent="0.2">
      <c r="A16" s="11" t="s">
        <v>213</v>
      </c>
      <c r="B16" s="27">
        <f>SUM(J16:U16)</f>
        <v>20000</v>
      </c>
      <c r="C16" s="27">
        <f>SUM(V16:AG16)</f>
        <v>57317.820000000007</v>
      </c>
      <c r="D16" s="27">
        <f>SUM(AH16:AS16)</f>
        <v>1045831.3400000002</v>
      </c>
      <c r="E16" s="27">
        <f>SUM(AT16:BE16)</f>
        <v>4273022.3399999989</v>
      </c>
      <c r="F16" s="27">
        <f>SUM(BF16:BQ16)</f>
        <v>7906753.0099999988</v>
      </c>
      <c r="G16" s="27">
        <f>SUM(BR16:CC16)</f>
        <v>10511352.989999996</v>
      </c>
      <c r="H16" s="27">
        <f>SUM(CD16:CO16)</f>
        <v>13124193.199999994</v>
      </c>
      <c r="I16" s="12"/>
      <c r="J16" s="27">
        <v>500</v>
      </c>
      <c r="K16" s="27">
        <v>500</v>
      </c>
      <c r="L16" s="27">
        <v>500</v>
      </c>
      <c r="M16" s="27">
        <v>500</v>
      </c>
      <c r="N16" s="27">
        <v>500</v>
      </c>
      <c r="O16" s="27">
        <v>800</v>
      </c>
      <c r="P16" s="27">
        <v>1200</v>
      </c>
      <c r="Q16" s="27">
        <v>2500</v>
      </c>
      <c r="R16" s="27">
        <v>3000</v>
      </c>
      <c r="S16" s="27">
        <v>3000</v>
      </c>
      <c r="T16" s="27">
        <v>3000</v>
      </c>
      <c r="U16" s="27">
        <v>4000</v>
      </c>
      <c r="V16" s="13">
        <f t="shared" ref="V16:AG16" si="9">users_y2/12</f>
        <v>4776.4850000000006</v>
      </c>
      <c r="W16" s="13">
        <f t="shared" si="9"/>
        <v>4776.4850000000006</v>
      </c>
      <c r="X16" s="13">
        <f t="shared" si="9"/>
        <v>4776.4850000000006</v>
      </c>
      <c r="Y16" s="13">
        <f t="shared" si="9"/>
        <v>4776.4850000000006</v>
      </c>
      <c r="Z16" s="13">
        <f t="shared" si="9"/>
        <v>4776.4850000000006</v>
      </c>
      <c r="AA16" s="13">
        <f t="shared" si="9"/>
        <v>4776.4850000000006</v>
      </c>
      <c r="AB16" s="13">
        <f t="shared" si="9"/>
        <v>4776.4850000000006</v>
      </c>
      <c r="AC16" s="13">
        <f t="shared" si="9"/>
        <v>4776.4850000000006</v>
      </c>
      <c r="AD16" s="13">
        <f t="shared" si="9"/>
        <v>4776.4850000000006</v>
      </c>
      <c r="AE16" s="13">
        <f t="shared" si="9"/>
        <v>4776.4850000000006</v>
      </c>
      <c r="AF16" s="13">
        <f t="shared" si="9"/>
        <v>4776.4850000000006</v>
      </c>
      <c r="AG16" s="13">
        <f t="shared" si="9"/>
        <v>4776.4850000000006</v>
      </c>
      <c r="AH16" s="13">
        <f t="shared" ref="AH16:AS16" si="10">users_y3/12</f>
        <v>87152.611666666664</v>
      </c>
      <c r="AI16" s="13">
        <f t="shared" si="10"/>
        <v>87152.611666666664</v>
      </c>
      <c r="AJ16" s="13">
        <f t="shared" si="10"/>
        <v>87152.611666666664</v>
      </c>
      <c r="AK16" s="13">
        <f t="shared" si="10"/>
        <v>87152.611666666664</v>
      </c>
      <c r="AL16" s="13">
        <f t="shared" si="10"/>
        <v>87152.611666666664</v>
      </c>
      <c r="AM16" s="13">
        <f t="shared" si="10"/>
        <v>87152.611666666664</v>
      </c>
      <c r="AN16" s="13">
        <f t="shared" si="10"/>
        <v>87152.611666666664</v>
      </c>
      <c r="AO16" s="13">
        <f t="shared" si="10"/>
        <v>87152.611666666664</v>
      </c>
      <c r="AP16" s="13">
        <f t="shared" si="10"/>
        <v>87152.611666666664</v>
      </c>
      <c r="AQ16" s="13">
        <f t="shared" si="10"/>
        <v>87152.611666666664</v>
      </c>
      <c r="AR16" s="13">
        <f t="shared" si="10"/>
        <v>87152.611666666664</v>
      </c>
      <c r="AS16" s="13">
        <f t="shared" si="10"/>
        <v>87152.611666666664</v>
      </c>
      <c r="AT16" s="13">
        <f t="shared" ref="AT16:BE16" si="11">users_y4/12</f>
        <v>356085.19500000001</v>
      </c>
      <c r="AU16" s="13">
        <f t="shared" si="11"/>
        <v>356085.19500000001</v>
      </c>
      <c r="AV16" s="13">
        <f t="shared" si="11"/>
        <v>356085.19500000001</v>
      </c>
      <c r="AW16" s="13">
        <f t="shared" si="11"/>
        <v>356085.19500000001</v>
      </c>
      <c r="AX16" s="13">
        <f t="shared" si="11"/>
        <v>356085.19500000001</v>
      </c>
      <c r="AY16" s="13">
        <f t="shared" si="11"/>
        <v>356085.19500000001</v>
      </c>
      <c r="AZ16" s="13">
        <f t="shared" si="11"/>
        <v>356085.19500000001</v>
      </c>
      <c r="BA16" s="13">
        <f t="shared" si="11"/>
        <v>356085.19500000001</v>
      </c>
      <c r="BB16" s="13">
        <f t="shared" si="11"/>
        <v>356085.19500000001</v>
      </c>
      <c r="BC16" s="13">
        <f t="shared" si="11"/>
        <v>356085.19500000001</v>
      </c>
      <c r="BD16" s="13">
        <f t="shared" si="11"/>
        <v>356085.19500000001</v>
      </c>
      <c r="BE16" s="13">
        <f t="shared" si="11"/>
        <v>356085.19500000001</v>
      </c>
      <c r="BF16" s="13">
        <f t="shared" ref="BF16:BQ16" si="12">users_y5/12</f>
        <v>658896.08416666673</v>
      </c>
      <c r="BG16" s="13">
        <f t="shared" si="12"/>
        <v>658896.08416666673</v>
      </c>
      <c r="BH16" s="13">
        <f t="shared" si="12"/>
        <v>658896.08416666673</v>
      </c>
      <c r="BI16" s="13">
        <f t="shared" si="12"/>
        <v>658896.08416666673</v>
      </c>
      <c r="BJ16" s="13">
        <f t="shared" si="12"/>
        <v>658896.08416666673</v>
      </c>
      <c r="BK16" s="13">
        <f t="shared" si="12"/>
        <v>658896.08416666673</v>
      </c>
      <c r="BL16" s="13">
        <f t="shared" si="12"/>
        <v>658896.08416666673</v>
      </c>
      <c r="BM16" s="13">
        <f t="shared" si="12"/>
        <v>658896.08416666673</v>
      </c>
      <c r="BN16" s="13">
        <f t="shared" si="12"/>
        <v>658896.08416666673</v>
      </c>
      <c r="BO16" s="13">
        <f t="shared" si="12"/>
        <v>658896.08416666673</v>
      </c>
      <c r="BP16" s="13">
        <f t="shared" si="12"/>
        <v>658896.08416666673</v>
      </c>
      <c r="BQ16" s="13">
        <f t="shared" si="12"/>
        <v>658896.08416666673</v>
      </c>
      <c r="BR16" s="13">
        <f t="shared" ref="BR16:CC16" si="13">users_y6/12</f>
        <v>875946.0824999999</v>
      </c>
      <c r="BS16" s="13">
        <f t="shared" si="13"/>
        <v>875946.0824999999</v>
      </c>
      <c r="BT16" s="13">
        <f t="shared" si="13"/>
        <v>875946.0824999999</v>
      </c>
      <c r="BU16" s="13">
        <f t="shared" si="13"/>
        <v>875946.0824999999</v>
      </c>
      <c r="BV16" s="13">
        <f t="shared" si="13"/>
        <v>875946.0824999999</v>
      </c>
      <c r="BW16" s="13">
        <f t="shared" si="13"/>
        <v>875946.0824999999</v>
      </c>
      <c r="BX16" s="13">
        <f t="shared" si="13"/>
        <v>875946.0824999999</v>
      </c>
      <c r="BY16" s="13">
        <f t="shared" si="13"/>
        <v>875946.0824999999</v>
      </c>
      <c r="BZ16" s="13">
        <f t="shared" si="13"/>
        <v>875946.0824999999</v>
      </c>
      <c r="CA16" s="13">
        <f t="shared" si="13"/>
        <v>875946.0824999999</v>
      </c>
      <c r="CB16" s="13">
        <f t="shared" si="13"/>
        <v>875946.0824999999</v>
      </c>
      <c r="CC16" s="13">
        <f t="shared" si="13"/>
        <v>875946.0824999999</v>
      </c>
      <c r="CD16" s="13">
        <f t="shared" ref="CD16:CO16" si="14">users_y7/12</f>
        <v>1093682.7666666664</v>
      </c>
      <c r="CE16" s="13">
        <f t="shared" si="14"/>
        <v>1093682.7666666664</v>
      </c>
      <c r="CF16" s="13">
        <f t="shared" si="14"/>
        <v>1093682.7666666664</v>
      </c>
      <c r="CG16" s="13">
        <f t="shared" si="14"/>
        <v>1093682.7666666664</v>
      </c>
      <c r="CH16" s="13">
        <f t="shared" si="14"/>
        <v>1093682.7666666664</v>
      </c>
      <c r="CI16" s="13">
        <f t="shared" si="14"/>
        <v>1093682.7666666664</v>
      </c>
      <c r="CJ16" s="13">
        <f t="shared" si="14"/>
        <v>1093682.7666666664</v>
      </c>
      <c r="CK16" s="13">
        <f t="shared" si="14"/>
        <v>1093682.7666666664</v>
      </c>
      <c r="CL16" s="13">
        <f t="shared" si="14"/>
        <v>1093682.7666666664</v>
      </c>
      <c r="CM16" s="13">
        <f t="shared" si="14"/>
        <v>1093682.7666666664</v>
      </c>
      <c r="CN16" s="13">
        <f t="shared" si="14"/>
        <v>1093682.7666666664</v>
      </c>
      <c r="CO16" s="13">
        <f t="shared" si="14"/>
        <v>1093682.7666666664</v>
      </c>
    </row>
    <row r="17" spans="1:93" s="11" customFormat="1" x14ac:dyDescent="0.2">
      <c r="A17" s="73" t="s">
        <v>150</v>
      </c>
      <c r="B17" s="25">
        <f>' Inputs'!C14</f>
        <v>0.2</v>
      </c>
      <c r="C17" s="25">
        <f>' Inputs'!D14</f>
        <v>0.3</v>
      </c>
      <c r="D17" s="25">
        <f>' Inputs'!E14</f>
        <v>0.3</v>
      </c>
      <c r="E17" s="25">
        <f>' Inputs'!F14</f>
        <v>0.4</v>
      </c>
      <c r="F17" s="25">
        <f>' Inputs'!G14</f>
        <v>0.5</v>
      </c>
      <c r="G17" s="25">
        <f>' Inputs'!H14</f>
        <v>0.5</v>
      </c>
      <c r="H17" s="25">
        <f>' Inputs'!I14</f>
        <v>0.5</v>
      </c>
      <c r="I17" s="12"/>
      <c r="J17" s="3"/>
      <c r="K17"/>
      <c r="L17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</row>
    <row r="18" spans="1:93" s="11" customFormat="1" x14ac:dyDescent="0.2">
      <c r="A18" s="73" t="s">
        <v>214</v>
      </c>
      <c r="B18" s="27">
        <f>B16*B17</f>
        <v>4000</v>
      </c>
      <c r="C18" s="27">
        <f>C16*C17</f>
        <v>17195.346000000001</v>
      </c>
      <c r="D18" s="27">
        <f t="shared" ref="D18:H18" si="15">D16*D17</f>
        <v>313749.40200000006</v>
      </c>
      <c r="E18" s="27">
        <f t="shared" si="15"/>
        <v>1709208.9359999998</v>
      </c>
      <c r="F18" s="27">
        <f t="shared" si="15"/>
        <v>3953376.5049999994</v>
      </c>
      <c r="G18" s="27">
        <f t="shared" si="15"/>
        <v>5255676.4949999982</v>
      </c>
      <c r="H18" s="27">
        <f t="shared" si="15"/>
        <v>6562096.5999999968</v>
      </c>
      <c r="I18" s="12"/>
      <c r="J18" s="3"/>
      <c r="K18"/>
      <c r="L1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</row>
    <row r="19" spans="1:93" s="11" customFormat="1" x14ac:dyDescent="0.2">
      <c r="A19" s="73" t="s">
        <v>215</v>
      </c>
      <c r="B19" s="27">
        <f>B16-B18</f>
        <v>16000</v>
      </c>
      <c r="C19" s="27">
        <f>C16-C18</f>
        <v>40122.474000000002</v>
      </c>
      <c r="D19" s="27">
        <f t="shared" ref="D19:H19" si="16">D16-D18</f>
        <v>732081.93800000008</v>
      </c>
      <c r="E19" s="27">
        <f t="shared" si="16"/>
        <v>2563813.4039999992</v>
      </c>
      <c r="F19" s="27">
        <f t="shared" si="16"/>
        <v>3953376.5049999994</v>
      </c>
      <c r="G19" s="27">
        <f t="shared" si="16"/>
        <v>5255676.4949999982</v>
      </c>
      <c r="H19" s="27">
        <f t="shared" si="16"/>
        <v>6562096.5999999968</v>
      </c>
      <c r="I19" s="12"/>
      <c r="J19" s="3"/>
      <c r="K19"/>
      <c r="L1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</row>
    <row r="20" spans="1:93" s="11" customFormat="1" x14ac:dyDescent="0.2">
      <c r="A20" s="11" t="s">
        <v>216</v>
      </c>
      <c r="B20" s="12">
        <f>' Inputs'!C13</f>
        <v>20</v>
      </c>
      <c r="C20" s="12">
        <f>' Inputs'!D13</f>
        <v>15</v>
      </c>
      <c r="D20" s="12">
        <f>' Inputs'!E13</f>
        <v>10</v>
      </c>
      <c r="E20" s="12">
        <f>' Inputs'!F13</f>
        <v>10</v>
      </c>
      <c r="F20" s="12">
        <f>' Inputs'!G13</f>
        <v>10</v>
      </c>
      <c r="G20" s="12">
        <f>' Inputs'!H13</f>
        <v>10</v>
      </c>
      <c r="H20" s="12">
        <f>' Inputs'!I13</f>
        <v>10</v>
      </c>
      <c r="I20" s="12"/>
      <c r="J20" s="3"/>
      <c r="K20"/>
      <c r="L2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</row>
    <row r="21" spans="1:93" s="11" customFormat="1" x14ac:dyDescent="0.2">
      <c r="A21" s="11" t="s">
        <v>217</v>
      </c>
      <c r="B21" s="12">
        <f>B19*B20</f>
        <v>320000</v>
      </c>
      <c r="C21" s="12">
        <f>C19*C20</f>
        <v>601837.11</v>
      </c>
      <c r="D21" s="12">
        <f t="shared" ref="D21:H21" si="17">D19*D20</f>
        <v>7320819.3800000008</v>
      </c>
      <c r="E21" s="12">
        <f t="shared" si="17"/>
        <v>25638134.039999992</v>
      </c>
      <c r="F21" s="12">
        <f t="shared" si="17"/>
        <v>39533765.049999997</v>
      </c>
      <c r="G21" s="12">
        <f t="shared" si="17"/>
        <v>52556764.949999981</v>
      </c>
      <c r="H21" s="12">
        <f t="shared" si="17"/>
        <v>65620965.99999997</v>
      </c>
      <c r="I21" s="12"/>
      <c r="J21" s="3"/>
      <c r="K21"/>
      <c r="L2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</row>
    <row r="22" spans="1:93" s="11" customFormat="1" x14ac:dyDescent="0.2">
      <c r="A22" s="11" t="s">
        <v>218</v>
      </c>
      <c r="B22" s="27">
        <f>B16*' Inputs'!C15</f>
        <v>1000</v>
      </c>
      <c r="C22" s="27">
        <f>C16*' Inputs'!D15</f>
        <v>2865.8910000000005</v>
      </c>
      <c r="D22" s="27">
        <f>D16*' Inputs'!E15</f>
        <v>52291.56700000001</v>
      </c>
      <c r="E22" s="27">
        <f>E16*' Inputs'!F15</f>
        <v>213651.11699999997</v>
      </c>
      <c r="F22" s="27">
        <f>F16*' Inputs'!G15</f>
        <v>395337.65049999999</v>
      </c>
      <c r="G22" s="27">
        <f>G16*' Inputs'!H15</f>
        <v>525567.64949999982</v>
      </c>
      <c r="H22" s="27">
        <f>H16*' Inputs'!I15</f>
        <v>656209.65999999968</v>
      </c>
      <c r="I22" s="12"/>
      <c r="J22" s="3"/>
      <c r="K22"/>
      <c r="L2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</row>
    <row r="23" spans="1:93" s="11" customFormat="1" x14ac:dyDescent="0.2">
      <c r="A23" s="82" t="s">
        <v>219</v>
      </c>
      <c r="B23" s="83">
        <f>B16-B22</f>
        <v>19000</v>
      </c>
      <c r="C23" s="83">
        <f>B23+C16-C22</f>
        <v>73451.929000000004</v>
      </c>
      <c r="D23" s="83">
        <f t="shared" ref="D23:G23" si="18">C23+D16-D22</f>
        <v>1066991.7020000003</v>
      </c>
      <c r="E23" s="83">
        <f t="shared" si="18"/>
        <v>5126362.9249999998</v>
      </c>
      <c r="F23" s="83">
        <f t="shared" si="18"/>
        <v>12637778.284499999</v>
      </c>
      <c r="G23" s="83">
        <f t="shared" si="18"/>
        <v>22623563.624999996</v>
      </c>
      <c r="H23" s="83">
        <f>G23+H16-H22</f>
        <v>35091547.164999992</v>
      </c>
      <c r="I23" s="12"/>
      <c r="J23" s="3"/>
      <c r="K23" s="84"/>
      <c r="L2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</row>
    <row r="24" spans="1:93" s="11" customFormat="1" x14ac:dyDescent="0.2">
      <c r="B24" s="14"/>
      <c r="C24" s="14"/>
      <c r="D24" s="14"/>
      <c r="E24" s="14"/>
      <c r="F24" s="14"/>
      <c r="G24" s="14"/>
      <c r="H24" s="14"/>
      <c r="I24" s="12"/>
      <c r="J24" s="3"/>
      <c r="K24"/>
      <c r="L2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</row>
    <row r="25" spans="1:93" s="70" customFormat="1" x14ac:dyDescent="0.2">
      <c r="A25" s="71" t="s">
        <v>148</v>
      </c>
      <c r="B25" s="68"/>
      <c r="C25" s="68"/>
      <c r="D25" s="68"/>
      <c r="E25" s="68"/>
      <c r="F25" s="68"/>
      <c r="G25" s="68"/>
      <c r="H25" s="68"/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</row>
    <row r="26" spans="1:93" s="11" customFormat="1" x14ac:dyDescent="0.2">
      <c r="A26" s="20" t="s">
        <v>17</v>
      </c>
      <c r="B26" s="14"/>
      <c r="C26" s="14"/>
      <c r="D26" s="14"/>
      <c r="E26" s="14"/>
      <c r="F26" s="14"/>
      <c r="G26" s="14"/>
      <c r="H26" s="14"/>
      <c r="I26" s="12"/>
      <c r="J26" s="3"/>
      <c r="K26"/>
      <c r="L26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</row>
    <row r="27" spans="1:93" s="11" customFormat="1" x14ac:dyDescent="0.2">
      <c r="A27" s="11" t="s">
        <v>85</v>
      </c>
      <c r="B27" s="5">
        <f>' Inputs'!K19</f>
        <v>0</v>
      </c>
      <c r="C27" s="5">
        <f>' Inputs'!L19</f>
        <v>0</v>
      </c>
      <c r="D27" s="5">
        <f>' Inputs'!M19</f>
        <v>0</v>
      </c>
      <c r="E27" s="5">
        <f>' Inputs'!N19</f>
        <v>0</v>
      </c>
      <c r="F27" s="5">
        <f>' Inputs'!O19</f>
        <v>0</v>
      </c>
      <c r="G27" s="5">
        <f>' Inputs'!P19</f>
        <v>0</v>
      </c>
      <c r="H27" s="5">
        <f>' Inputs'!Q19</f>
        <v>0</v>
      </c>
      <c r="I27" s="12"/>
      <c r="J27" s="5">
        <f>' Inputs'!$K$19</f>
        <v>0</v>
      </c>
      <c r="K27" s="5">
        <f>' Inputs'!$K$19</f>
        <v>0</v>
      </c>
      <c r="L27" s="5">
        <f>' Inputs'!$K$19</f>
        <v>0</v>
      </c>
      <c r="M27" s="5">
        <f>' Inputs'!$K$19</f>
        <v>0</v>
      </c>
      <c r="N27" s="5">
        <f>' Inputs'!$K$19</f>
        <v>0</v>
      </c>
      <c r="O27" s="5">
        <f>' Inputs'!$K$19</f>
        <v>0</v>
      </c>
      <c r="P27" s="5">
        <f>' Inputs'!$K$19</f>
        <v>0</v>
      </c>
      <c r="Q27" s="5">
        <f>' Inputs'!$K$19</f>
        <v>0</v>
      </c>
      <c r="R27" s="5">
        <f>' Inputs'!$K$19</f>
        <v>0</v>
      </c>
      <c r="S27" s="5">
        <f>' Inputs'!$K$19</f>
        <v>0</v>
      </c>
      <c r="T27" s="5">
        <f>' Inputs'!$K$19</f>
        <v>0</v>
      </c>
      <c r="U27" s="5">
        <f>' Inputs'!$K$19</f>
        <v>0</v>
      </c>
      <c r="V27" s="5">
        <f>' Inputs'!$L$19</f>
        <v>0</v>
      </c>
      <c r="W27" s="5">
        <f>' Inputs'!$L$19</f>
        <v>0</v>
      </c>
      <c r="X27" s="5">
        <f>' Inputs'!$L$19</f>
        <v>0</v>
      </c>
      <c r="Y27" s="5">
        <f>' Inputs'!$L$19</f>
        <v>0</v>
      </c>
      <c r="Z27" s="5">
        <f>' Inputs'!$L$19</f>
        <v>0</v>
      </c>
      <c r="AA27" s="5">
        <f>' Inputs'!$L$19</f>
        <v>0</v>
      </c>
      <c r="AB27" s="5">
        <f>' Inputs'!$L$19</f>
        <v>0</v>
      </c>
      <c r="AC27" s="5">
        <f>' Inputs'!$L$19</f>
        <v>0</v>
      </c>
      <c r="AD27" s="5">
        <f>' Inputs'!$L$19</f>
        <v>0</v>
      </c>
      <c r="AE27" s="5">
        <f>' Inputs'!$L$19</f>
        <v>0</v>
      </c>
      <c r="AF27" s="5">
        <f>' Inputs'!$L$19</f>
        <v>0</v>
      </c>
      <c r="AG27" s="5">
        <f>' Inputs'!$L$19</f>
        <v>0</v>
      </c>
      <c r="AH27" s="5">
        <f>' Inputs'!$M$19</f>
        <v>0</v>
      </c>
      <c r="AI27" s="5">
        <f>' Inputs'!$M$19</f>
        <v>0</v>
      </c>
      <c r="AJ27" s="5">
        <f>' Inputs'!$M$19</f>
        <v>0</v>
      </c>
      <c r="AK27" s="5">
        <f>' Inputs'!$M$19</f>
        <v>0</v>
      </c>
      <c r="AL27" s="5">
        <f>' Inputs'!$M$19</f>
        <v>0</v>
      </c>
      <c r="AM27" s="5">
        <f>' Inputs'!$M$19</f>
        <v>0</v>
      </c>
      <c r="AN27" s="5">
        <f>' Inputs'!$M$19</f>
        <v>0</v>
      </c>
      <c r="AO27" s="5">
        <f>' Inputs'!$M$19</f>
        <v>0</v>
      </c>
      <c r="AP27" s="5">
        <f>' Inputs'!$M$19</f>
        <v>0</v>
      </c>
      <c r="AQ27" s="5">
        <f>' Inputs'!$M$19</f>
        <v>0</v>
      </c>
      <c r="AR27" s="5">
        <f>' Inputs'!$M$19</f>
        <v>0</v>
      </c>
      <c r="AS27" s="5">
        <f>' Inputs'!$M$19</f>
        <v>0</v>
      </c>
      <c r="AT27" s="5">
        <f>' Inputs'!$N$19</f>
        <v>0</v>
      </c>
      <c r="AU27" s="5">
        <f>' Inputs'!$N$19</f>
        <v>0</v>
      </c>
      <c r="AV27" s="5">
        <f>' Inputs'!$N$19</f>
        <v>0</v>
      </c>
      <c r="AW27" s="5">
        <f>' Inputs'!$N$19</f>
        <v>0</v>
      </c>
      <c r="AX27" s="5">
        <f>' Inputs'!$N$19</f>
        <v>0</v>
      </c>
      <c r="AY27" s="5">
        <f>' Inputs'!$N$19</f>
        <v>0</v>
      </c>
      <c r="AZ27" s="5">
        <f>' Inputs'!$N$19</f>
        <v>0</v>
      </c>
      <c r="BA27" s="5">
        <f>' Inputs'!$N$19</f>
        <v>0</v>
      </c>
      <c r="BB27" s="5">
        <f>' Inputs'!$N$19</f>
        <v>0</v>
      </c>
      <c r="BC27" s="5">
        <f>' Inputs'!$N$19</f>
        <v>0</v>
      </c>
      <c r="BD27" s="5">
        <f>' Inputs'!$N$19</f>
        <v>0</v>
      </c>
      <c r="BE27" s="5">
        <f>' Inputs'!$N$19</f>
        <v>0</v>
      </c>
      <c r="BF27" s="5">
        <f>' Inputs'!$O$19</f>
        <v>0</v>
      </c>
      <c r="BG27" s="5">
        <f>' Inputs'!$O$19</f>
        <v>0</v>
      </c>
      <c r="BH27" s="5">
        <f>' Inputs'!$O$19</f>
        <v>0</v>
      </c>
      <c r="BI27" s="5">
        <f>' Inputs'!$O$19</f>
        <v>0</v>
      </c>
      <c r="BJ27" s="5">
        <f>' Inputs'!$O$19</f>
        <v>0</v>
      </c>
      <c r="BK27" s="5">
        <f>' Inputs'!$O$19</f>
        <v>0</v>
      </c>
      <c r="BL27" s="5">
        <f>' Inputs'!$O$19</f>
        <v>0</v>
      </c>
      <c r="BM27" s="5">
        <f>' Inputs'!$O$19</f>
        <v>0</v>
      </c>
      <c r="BN27" s="5">
        <f>' Inputs'!$O$19</f>
        <v>0</v>
      </c>
      <c r="BO27" s="5">
        <f>' Inputs'!$O$19</f>
        <v>0</v>
      </c>
      <c r="BP27" s="5">
        <f>' Inputs'!$O$19</f>
        <v>0</v>
      </c>
      <c r="BQ27" s="5">
        <f>' Inputs'!$O$19</f>
        <v>0</v>
      </c>
      <c r="BR27" s="5">
        <f>' Inputs'!$O$19</f>
        <v>0</v>
      </c>
      <c r="BS27" s="5">
        <f>' Inputs'!$O$19</f>
        <v>0</v>
      </c>
      <c r="BT27" s="5">
        <f>' Inputs'!$O$19</f>
        <v>0</v>
      </c>
      <c r="BU27" s="5">
        <f>' Inputs'!$O$19</f>
        <v>0</v>
      </c>
      <c r="BV27" s="5">
        <f>' Inputs'!$O$19</f>
        <v>0</v>
      </c>
      <c r="BW27" s="5">
        <f>' Inputs'!$O$19</f>
        <v>0</v>
      </c>
      <c r="BX27" s="5">
        <f>' Inputs'!$O$19</f>
        <v>0</v>
      </c>
      <c r="BY27" s="5">
        <f>' Inputs'!$O$19</f>
        <v>0</v>
      </c>
      <c r="BZ27" s="5">
        <f>' Inputs'!$O$19</f>
        <v>0</v>
      </c>
      <c r="CA27" s="5">
        <f>' Inputs'!$O$19</f>
        <v>0</v>
      </c>
      <c r="CB27" s="5">
        <f>' Inputs'!$O$19</f>
        <v>0</v>
      </c>
      <c r="CC27" s="5">
        <f>' Inputs'!$O$19</f>
        <v>0</v>
      </c>
      <c r="CD27" s="5">
        <f>' Inputs'!$O$19</f>
        <v>0</v>
      </c>
      <c r="CE27" s="5">
        <f>' Inputs'!$O$19</f>
        <v>0</v>
      </c>
      <c r="CF27" s="5">
        <f>' Inputs'!$O$19</f>
        <v>0</v>
      </c>
      <c r="CG27" s="5">
        <f>' Inputs'!$O$19</f>
        <v>0</v>
      </c>
      <c r="CH27" s="5">
        <f>' Inputs'!$O$19</f>
        <v>0</v>
      </c>
      <c r="CI27" s="5">
        <f>' Inputs'!$O$19</f>
        <v>0</v>
      </c>
      <c r="CJ27" s="5">
        <f>' Inputs'!$O$19</f>
        <v>0</v>
      </c>
      <c r="CK27" s="5">
        <f>' Inputs'!$O$19</f>
        <v>0</v>
      </c>
      <c r="CL27" s="5">
        <f>' Inputs'!$O$19</f>
        <v>0</v>
      </c>
      <c r="CM27" s="5">
        <f>' Inputs'!$O$19</f>
        <v>0</v>
      </c>
      <c r="CN27" s="5">
        <f>' Inputs'!$O$19</f>
        <v>0</v>
      </c>
      <c r="CO27" s="5">
        <f>' Inputs'!$O$19</f>
        <v>0</v>
      </c>
    </row>
    <row r="28" spans="1:93" s="11" customFormat="1" x14ac:dyDescent="0.2">
      <c r="A28" s="11" t="s">
        <v>14</v>
      </c>
      <c r="B28" s="27" t="e">
        <f>SUM(J28:U28)</f>
        <v>#REF!</v>
      </c>
      <c r="C28" s="27" t="e">
        <f>SUM(V28:AG28)</f>
        <v>#REF!</v>
      </c>
      <c r="D28" s="27" t="e">
        <f t="shared" ref="D28:D37" si="19">SUM(AH28:AS28)</f>
        <v>#REF!</v>
      </c>
      <c r="E28" s="27" t="e">
        <f t="shared" ref="E28:E37" si="20">SUM(AT28:BE28)</f>
        <v>#REF!</v>
      </c>
      <c r="F28" s="27" t="e">
        <f>SUM(BF28:BQ28)</f>
        <v>#REF!</v>
      </c>
      <c r="G28" s="27" t="e">
        <f>SUM(BR28:CC28)</f>
        <v>#REF!</v>
      </c>
      <c r="H28" s="27" t="e">
        <f>SUM(CD28:CO28)</f>
        <v>#REF!</v>
      </c>
      <c r="I28" s="12"/>
      <c r="J28" s="27" t="e">
        <f>J13*' Inputs'!#REF!</f>
        <v>#REF!</v>
      </c>
      <c r="K28" s="27" t="e">
        <f>K13*' Inputs'!#REF!</f>
        <v>#REF!</v>
      </c>
      <c r="L28" s="27" t="e">
        <f>L13*' Inputs'!#REF!</f>
        <v>#REF!</v>
      </c>
      <c r="M28" s="27" t="e">
        <f>M13*' Inputs'!#REF!</f>
        <v>#REF!</v>
      </c>
      <c r="N28" s="27" t="e">
        <f>N13*' Inputs'!#REF!</f>
        <v>#REF!</v>
      </c>
      <c r="O28" s="27" t="e">
        <f>O13*' Inputs'!#REF!</f>
        <v>#REF!</v>
      </c>
      <c r="P28" s="27" t="e">
        <f>P13*' Inputs'!#REF!</f>
        <v>#REF!</v>
      </c>
      <c r="Q28" s="27" t="e">
        <f>Q13*' Inputs'!#REF!</f>
        <v>#REF!</v>
      </c>
      <c r="R28" s="27" t="e">
        <f>R13*' Inputs'!#REF!</f>
        <v>#REF!</v>
      </c>
      <c r="S28" s="27" t="e">
        <f>S13*' Inputs'!#REF!</f>
        <v>#REF!</v>
      </c>
      <c r="T28" s="27" t="e">
        <f>T13*' Inputs'!#REF!</f>
        <v>#REF!</v>
      </c>
      <c r="U28" s="27" t="e">
        <f>U13*' Inputs'!#REF!</f>
        <v>#REF!</v>
      </c>
      <c r="V28" s="27" t="e">
        <f>V13*' Inputs'!#REF!</f>
        <v>#REF!</v>
      </c>
      <c r="W28" s="27" t="e">
        <f>W13*' Inputs'!#REF!</f>
        <v>#REF!</v>
      </c>
      <c r="X28" s="27" t="e">
        <f>X13*' Inputs'!#REF!</f>
        <v>#REF!</v>
      </c>
      <c r="Y28" s="27" t="e">
        <f>Y13*' Inputs'!#REF!</f>
        <v>#REF!</v>
      </c>
      <c r="Z28" s="27" t="e">
        <f>Z13*' Inputs'!#REF!</f>
        <v>#REF!</v>
      </c>
      <c r="AA28" s="27" t="e">
        <f>AA13*' Inputs'!#REF!</f>
        <v>#REF!</v>
      </c>
      <c r="AB28" s="27" t="e">
        <f>AB13*' Inputs'!#REF!</f>
        <v>#REF!</v>
      </c>
      <c r="AC28" s="27" t="e">
        <f>AC13*' Inputs'!#REF!</f>
        <v>#REF!</v>
      </c>
      <c r="AD28" s="27" t="e">
        <f>AD13*' Inputs'!#REF!</f>
        <v>#REF!</v>
      </c>
      <c r="AE28" s="27" t="e">
        <f>AE13*' Inputs'!#REF!</f>
        <v>#REF!</v>
      </c>
      <c r="AF28" s="27" t="e">
        <f>AF13*' Inputs'!#REF!</f>
        <v>#REF!</v>
      </c>
      <c r="AG28" s="27" t="e">
        <f>AG13*' Inputs'!#REF!</f>
        <v>#REF!</v>
      </c>
      <c r="AH28" s="27" t="e">
        <f>AH13*' Inputs'!#REF!</f>
        <v>#REF!</v>
      </c>
      <c r="AI28" s="27" t="e">
        <f>AI13*' Inputs'!#REF!</f>
        <v>#REF!</v>
      </c>
      <c r="AJ28" s="27" t="e">
        <f>AJ13*' Inputs'!#REF!</f>
        <v>#REF!</v>
      </c>
      <c r="AK28" s="27" t="e">
        <f>AK13*' Inputs'!#REF!</f>
        <v>#REF!</v>
      </c>
      <c r="AL28" s="27" t="e">
        <f>AL13*' Inputs'!#REF!</f>
        <v>#REF!</v>
      </c>
      <c r="AM28" s="27" t="e">
        <f>AM13*' Inputs'!#REF!</f>
        <v>#REF!</v>
      </c>
      <c r="AN28" s="27" t="e">
        <f>AN13*' Inputs'!#REF!</f>
        <v>#REF!</v>
      </c>
      <c r="AO28" s="27" t="e">
        <f>AO13*' Inputs'!#REF!</f>
        <v>#REF!</v>
      </c>
      <c r="AP28" s="27" t="e">
        <f>AP13*' Inputs'!#REF!</f>
        <v>#REF!</v>
      </c>
      <c r="AQ28" s="27" t="e">
        <f>AQ13*' Inputs'!#REF!</f>
        <v>#REF!</v>
      </c>
      <c r="AR28" s="27" t="e">
        <f>AR13*' Inputs'!#REF!</f>
        <v>#REF!</v>
      </c>
      <c r="AS28" s="27" t="e">
        <f>AS13*' Inputs'!#REF!</f>
        <v>#REF!</v>
      </c>
      <c r="AT28" s="27" t="e">
        <f>AT13*' Inputs'!#REF!</f>
        <v>#REF!</v>
      </c>
      <c r="AU28" s="27" t="e">
        <f>AU13*' Inputs'!#REF!</f>
        <v>#REF!</v>
      </c>
      <c r="AV28" s="27" t="e">
        <f>AV13*' Inputs'!#REF!</f>
        <v>#REF!</v>
      </c>
      <c r="AW28" s="27" t="e">
        <f>AW13*' Inputs'!#REF!</f>
        <v>#REF!</v>
      </c>
      <c r="AX28" s="27" t="e">
        <f>AX13*' Inputs'!#REF!</f>
        <v>#REF!</v>
      </c>
      <c r="AY28" s="27" t="e">
        <f>AY13*' Inputs'!#REF!</f>
        <v>#REF!</v>
      </c>
      <c r="AZ28" s="27" t="e">
        <f>AZ13*' Inputs'!#REF!</f>
        <v>#REF!</v>
      </c>
      <c r="BA28" s="27" t="e">
        <f>BA13*' Inputs'!#REF!</f>
        <v>#REF!</v>
      </c>
      <c r="BB28" s="27" t="e">
        <f>BB13*' Inputs'!#REF!</f>
        <v>#REF!</v>
      </c>
      <c r="BC28" s="27" t="e">
        <f>BC13*' Inputs'!#REF!</f>
        <v>#REF!</v>
      </c>
      <c r="BD28" s="27" t="e">
        <f>BD13*' Inputs'!#REF!</f>
        <v>#REF!</v>
      </c>
      <c r="BE28" s="27" t="e">
        <f>BE13*' Inputs'!#REF!</f>
        <v>#REF!</v>
      </c>
      <c r="BF28" s="27" t="e">
        <f>BF13*' Inputs'!#REF!</f>
        <v>#REF!</v>
      </c>
      <c r="BG28" s="27" t="e">
        <f>BG13*' Inputs'!#REF!</f>
        <v>#REF!</v>
      </c>
      <c r="BH28" s="27" t="e">
        <f>BH13*' Inputs'!#REF!</f>
        <v>#REF!</v>
      </c>
      <c r="BI28" s="27" t="e">
        <f>BI13*' Inputs'!#REF!</f>
        <v>#REF!</v>
      </c>
      <c r="BJ28" s="27" t="e">
        <f>BJ13*' Inputs'!#REF!</f>
        <v>#REF!</v>
      </c>
      <c r="BK28" s="27" t="e">
        <f>BK13*' Inputs'!#REF!</f>
        <v>#REF!</v>
      </c>
      <c r="BL28" s="27" t="e">
        <f>BL13*' Inputs'!#REF!</f>
        <v>#REF!</v>
      </c>
      <c r="BM28" s="27" t="e">
        <f>BM13*' Inputs'!#REF!</f>
        <v>#REF!</v>
      </c>
      <c r="BN28" s="27" t="e">
        <f>BN13*' Inputs'!#REF!</f>
        <v>#REF!</v>
      </c>
      <c r="BO28" s="27" t="e">
        <f>BO13*' Inputs'!#REF!</f>
        <v>#REF!</v>
      </c>
      <c r="BP28" s="27" t="e">
        <f>BP13*' Inputs'!#REF!</f>
        <v>#REF!</v>
      </c>
      <c r="BQ28" s="27" t="e">
        <f>BQ13*' Inputs'!#REF!</f>
        <v>#REF!</v>
      </c>
      <c r="BR28" s="27" t="e">
        <f>BR13*' Inputs'!#REF!</f>
        <v>#REF!</v>
      </c>
      <c r="BS28" s="27" t="e">
        <f>BS13*' Inputs'!#REF!</f>
        <v>#REF!</v>
      </c>
      <c r="BT28" s="27" t="e">
        <f>BT13*' Inputs'!#REF!</f>
        <v>#REF!</v>
      </c>
      <c r="BU28" s="27" t="e">
        <f>BU13*' Inputs'!#REF!</f>
        <v>#REF!</v>
      </c>
      <c r="BV28" s="27" t="e">
        <f>BV13*' Inputs'!#REF!</f>
        <v>#REF!</v>
      </c>
      <c r="BW28" s="27" t="e">
        <f>BW13*' Inputs'!#REF!</f>
        <v>#REF!</v>
      </c>
      <c r="BX28" s="27" t="e">
        <f>BX13*' Inputs'!#REF!</f>
        <v>#REF!</v>
      </c>
      <c r="BY28" s="27" t="e">
        <f>BY13*' Inputs'!#REF!</f>
        <v>#REF!</v>
      </c>
      <c r="BZ28" s="27" t="e">
        <f>BZ13*' Inputs'!#REF!</f>
        <v>#REF!</v>
      </c>
      <c r="CA28" s="27" t="e">
        <f>CA13*' Inputs'!#REF!</f>
        <v>#REF!</v>
      </c>
      <c r="CB28" s="27" t="e">
        <f>CB13*' Inputs'!#REF!</f>
        <v>#REF!</v>
      </c>
      <c r="CC28" s="27" t="e">
        <f>CC13*' Inputs'!#REF!</f>
        <v>#REF!</v>
      </c>
      <c r="CD28" s="27" t="e">
        <f>CD13*' Inputs'!#REF!</f>
        <v>#REF!</v>
      </c>
      <c r="CE28" s="27" t="e">
        <f>CE13*' Inputs'!#REF!</f>
        <v>#REF!</v>
      </c>
      <c r="CF28" s="27" t="e">
        <f>CF13*' Inputs'!#REF!</f>
        <v>#REF!</v>
      </c>
      <c r="CG28" s="27" t="e">
        <f>CG13*' Inputs'!#REF!</f>
        <v>#REF!</v>
      </c>
      <c r="CH28" s="27" t="e">
        <f>CH13*' Inputs'!#REF!</f>
        <v>#REF!</v>
      </c>
      <c r="CI28" s="27" t="e">
        <f>CI13*' Inputs'!#REF!</f>
        <v>#REF!</v>
      </c>
      <c r="CJ28" s="27" t="e">
        <f>CJ13*' Inputs'!#REF!</f>
        <v>#REF!</v>
      </c>
      <c r="CK28" s="27" t="e">
        <f>CK13*' Inputs'!#REF!</f>
        <v>#REF!</v>
      </c>
      <c r="CL28" s="27" t="e">
        <f>CL13*' Inputs'!#REF!</f>
        <v>#REF!</v>
      </c>
      <c r="CM28" s="27" t="e">
        <f>CM13*' Inputs'!#REF!</f>
        <v>#REF!</v>
      </c>
      <c r="CN28" s="27" t="e">
        <f>CN13*' Inputs'!#REF!</f>
        <v>#REF!</v>
      </c>
      <c r="CO28" s="27" t="e">
        <f>CO13*' Inputs'!#REF!</f>
        <v>#REF!</v>
      </c>
    </row>
    <row r="29" spans="1:93" s="11" customFormat="1" x14ac:dyDescent="0.2">
      <c r="A29" s="11" t="s">
        <v>15</v>
      </c>
      <c r="B29" s="5" t="e">
        <f>SUM(J29:U29)</f>
        <v>#REF!</v>
      </c>
      <c r="C29" s="5" t="e">
        <f t="shared" ref="C29:C37" si="21">SUM(V29:AG29)</f>
        <v>#REF!</v>
      </c>
      <c r="D29" s="5" t="e">
        <f t="shared" si="19"/>
        <v>#REF!</v>
      </c>
      <c r="E29" s="5" t="e">
        <f t="shared" si="20"/>
        <v>#REF!</v>
      </c>
      <c r="F29" s="5" t="e">
        <f t="shared" ref="F29:F37" si="22">SUM(BF29:BQ29)</f>
        <v>#REF!</v>
      </c>
      <c r="G29" s="12" t="e">
        <f t="shared" ref="G29:G37" si="23">SUM(BR29:CC29)</f>
        <v>#REF!</v>
      </c>
      <c r="H29" s="12" t="e">
        <f t="shared" ref="H29:H32" si="24">SUM(CD29:CO29)</f>
        <v>#REF!</v>
      </c>
      <c r="I29" s="7"/>
      <c r="J29" s="5" t="e">
        <f>J28*J27</f>
        <v>#REF!</v>
      </c>
      <c r="K29" s="5" t="e">
        <f>K28*K27</f>
        <v>#REF!</v>
      </c>
      <c r="L29" s="5" t="e">
        <f t="shared" ref="L29:AG29" si="25">L28*L27</f>
        <v>#REF!</v>
      </c>
      <c r="M29" s="5" t="e">
        <f t="shared" si="25"/>
        <v>#REF!</v>
      </c>
      <c r="N29" s="5" t="e">
        <f t="shared" si="25"/>
        <v>#REF!</v>
      </c>
      <c r="O29" s="5" t="e">
        <f t="shared" si="25"/>
        <v>#REF!</v>
      </c>
      <c r="P29" s="5" t="e">
        <f t="shared" si="25"/>
        <v>#REF!</v>
      </c>
      <c r="Q29" s="5" t="e">
        <f t="shared" si="25"/>
        <v>#REF!</v>
      </c>
      <c r="R29" s="5" t="e">
        <f t="shared" si="25"/>
        <v>#REF!</v>
      </c>
      <c r="S29" s="5" t="e">
        <f t="shared" si="25"/>
        <v>#REF!</v>
      </c>
      <c r="T29" s="5" t="e">
        <f t="shared" si="25"/>
        <v>#REF!</v>
      </c>
      <c r="U29" s="5" t="e">
        <f t="shared" si="25"/>
        <v>#REF!</v>
      </c>
      <c r="V29" s="5" t="e">
        <f t="shared" si="25"/>
        <v>#REF!</v>
      </c>
      <c r="W29" s="5" t="e">
        <f t="shared" si="25"/>
        <v>#REF!</v>
      </c>
      <c r="X29" s="5" t="e">
        <f t="shared" si="25"/>
        <v>#REF!</v>
      </c>
      <c r="Y29" s="5" t="e">
        <f t="shared" si="25"/>
        <v>#REF!</v>
      </c>
      <c r="Z29" s="5" t="e">
        <f t="shared" si="25"/>
        <v>#REF!</v>
      </c>
      <c r="AA29" s="5" t="e">
        <f t="shared" si="25"/>
        <v>#REF!</v>
      </c>
      <c r="AB29" s="5" t="e">
        <f t="shared" si="25"/>
        <v>#REF!</v>
      </c>
      <c r="AC29" s="5" t="e">
        <f t="shared" si="25"/>
        <v>#REF!</v>
      </c>
      <c r="AD29" s="5" t="e">
        <f t="shared" si="25"/>
        <v>#REF!</v>
      </c>
      <c r="AE29" s="5" t="e">
        <f t="shared" si="25"/>
        <v>#REF!</v>
      </c>
      <c r="AF29" s="5" t="e">
        <f t="shared" si="25"/>
        <v>#REF!</v>
      </c>
      <c r="AG29" s="5" t="e">
        <f t="shared" si="25"/>
        <v>#REF!</v>
      </c>
      <c r="AH29" s="5" t="e">
        <f>AH28*AH27</f>
        <v>#REF!</v>
      </c>
      <c r="AI29" s="5" t="e">
        <f t="shared" ref="AI29:BE29" si="26">AI28*AI27</f>
        <v>#REF!</v>
      </c>
      <c r="AJ29" s="5" t="e">
        <f t="shared" si="26"/>
        <v>#REF!</v>
      </c>
      <c r="AK29" s="5" t="e">
        <f t="shared" si="26"/>
        <v>#REF!</v>
      </c>
      <c r="AL29" s="5" t="e">
        <f t="shared" si="26"/>
        <v>#REF!</v>
      </c>
      <c r="AM29" s="5" t="e">
        <f t="shared" si="26"/>
        <v>#REF!</v>
      </c>
      <c r="AN29" s="5" t="e">
        <f t="shared" si="26"/>
        <v>#REF!</v>
      </c>
      <c r="AO29" s="5" t="e">
        <f t="shared" si="26"/>
        <v>#REF!</v>
      </c>
      <c r="AP29" s="5" t="e">
        <f t="shared" si="26"/>
        <v>#REF!</v>
      </c>
      <c r="AQ29" s="5" t="e">
        <f t="shared" si="26"/>
        <v>#REF!</v>
      </c>
      <c r="AR29" s="5" t="e">
        <f t="shared" si="26"/>
        <v>#REF!</v>
      </c>
      <c r="AS29" s="5" t="e">
        <f t="shared" si="26"/>
        <v>#REF!</v>
      </c>
      <c r="AT29" s="5" t="e">
        <f t="shared" si="26"/>
        <v>#REF!</v>
      </c>
      <c r="AU29" s="5" t="e">
        <f t="shared" si="26"/>
        <v>#REF!</v>
      </c>
      <c r="AV29" s="5" t="e">
        <f t="shared" si="26"/>
        <v>#REF!</v>
      </c>
      <c r="AW29" s="5" t="e">
        <f t="shared" si="26"/>
        <v>#REF!</v>
      </c>
      <c r="AX29" s="5" t="e">
        <f t="shared" si="26"/>
        <v>#REF!</v>
      </c>
      <c r="AY29" s="5" t="e">
        <f t="shared" si="26"/>
        <v>#REF!</v>
      </c>
      <c r="AZ29" s="5" t="e">
        <f t="shared" si="26"/>
        <v>#REF!</v>
      </c>
      <c r="BA29" s="5" t="e">
        <f t="shared" si="26"/>
        <v>#REF!</v>
      </c>
      <c r="BB29" s="5" t="e">
        <f t="shared" si="26"/>
        <v>#REF!</v>
      </c>
      <c r="BC29" s="5" t="e">
        <f t="shared" si="26"/>
        <v>#REF!</v>
      </c>
      <c r="BD29" s="5" t="e">
        <f t="shared" si="26"/>
        <v>#REF!</v>
      </c>
      <c r="BE29" s="5" t="e">
        <f t="shared" si="26"/>
        <v>#REF!</v>
      </c>
      <c r="BF29" s="5" t="e">
        <f>BF28*BF27</f>
        <v>#REF!</v>
      </c>
      <c r="BG29" s="5" t="e">
        <f t="shared" ref="BG29:BQ29" si="27">BG28*BG27</f>
        <v>#REF!</v>
      </c>
      <c r="BH29" s="5" t="e">
        <f t="shared" si="27"/>
        <v>#REF!</v>
      </c>
      <c r="BI29" s="5" t="e">
        <f t="shared" si="27"/>
        <v>#REF!</v>
      </c>
      <c r="BJ29" s="5" t="e">
        <f t="shared" si="27"/>
        <v>#REF!</v>
      </c>
      <c r="BK29" s="5" t="e">
        <f t="shared" si="27"/>
        <v>#REF!</v>
      </c>
      <c r="BL29" s="5" t="e">
        <f t="shared" si="27"/>
        <v>#REF!</v>
      </c>
      <c r="BM29" s="5" t="e">
        <f t="shared" si="27"/>
        <v>#REF!</v>
      </c>
      <c r="BN29" s="5" t="e">
        <f t="shared" si="27"/>
        <v>#REF!</v>
      </c>
      <c r="BO29" s="5" t="e">
        <f t="shared" si="27"/>
        <v>#REF!</v>
      </c>
      <c r="BP29" s="5" t="e">
        <f t="shared" si="27"/>
        <v>#REF!</v>
      </c>
      <c r="BQ29" s="5" t="e">
        <f t="shared" si="27"/>
        <v>#REF!</v>
      </c>
      <c r="BR29" s="5" t="e">
        <f>BR28*BR27</f>
        <v>#REF!</v>
      </c>
      <c r="BS29" s="5" t="e">
        <f t="shared" ref="BS29:CO29" si="28">BS28*BS27</f>
        <v>#REF!</v>
      </c>
      <c r="BT29" s="5" t="e">
        <f t="shared" si="28"/>
        <v>#REF!</v>
      </c>
      <c r="BU29" s="5" t="e">
        <f t="shared" si="28"/>
        <v>#REF!</v>
      </c>
      <c r="BV29" s="5" t="e">
        <f t="shared" si="28"/>
        <v>#REF!</v>
      </c>
      <c r="BW29" s="5" t="e">
        <f t="shared" si="28"/>
        <v>#REF!</v>
      </c>
      <c r="BX29" s="5" t="e">
        <f t="shared" si="28"/>
        <v>#REF!</v>
      </c>
      <c r="BY29" s="5" t="e">
        <f t="shared" si="28"/>
        <v>#REF!</v>
      </c>
      <c r="BZ29" s="5" t="e">
        <f t="shared" si="28"/>
        <v>#REF!</v>
      </c>
      <c r="CA29" s="5" t="e">
        <f t="shared" si="28"/>
        <v>#REF!</v>
      </c>
      <c r="CB29" s="5" t="e">
        <f t="shared" si="28"/>
        <v>#REF!</v>
      </c>
      <c r="CC29" s="5" t="e">
        <f t="shared" si="28"/>
        <v>#REF!</v>
      </c>
      <c r="CD29" s="5" t="e">
        <f t="shared" si="28"/>
        <v>#REF!</v>
      </c>
      <c r="CE29" s="5" t="e">
        <f t="shared" si="28"/>
        <v>#REF!</v>
      </c>
      <c r="CF29" s="5" t="e">
        <f t="shared" si="28"/>
        <v>#REF!</v>
      </c>
      <c r="CG29" s="5" t="e">
        <f t="shared" si="28"/>
        <v>#REF!</v>
      </c>
      <c r="CH29" s="5" t="e">
        <f t="shared" si="28"/>
        <v>#REF!</v>
      </c>
      <c r="CI29" s="5" t="e">
        <f t="shared" si="28"/>
        <v>#REF!</v>
      </c>
      <c r="CJ29" s="5" t="e">
        <f t="shared" si="28"/>
        <v>#REF!</v>
      </c>
      <c r="CK29" s="5" t="e">
        <f t="shared" si="28"/>
        <v>#REF!</v>
      </c>
      <c r="CL29" s="5" t="e">
        <f t="shared" si="28"/>
        <v>#REF!</v>
      </c>
      <c r="CM29" s="5" t="e">
        <f t="shared" si="28"/>
        <v>#REF!</v>
      </c>
      <c r="CN29" s="5" t="e">
        <f t="shared" si="28"/>
        <v>#REF!</v>
      </c>
      <c r="CO29" s="5" t="e">
        <f t="shared" si="28"/>
        <v>#REF!</v>
      </c>
    </row>
    <row r="30" spans="1:93" x14ac:dyDescent="0.2">
      <c r="A30" s="11" t="s">
        <v>19</v>
      </c>
      <c r="B30" s="5" t="e">
        <f>SUM(J30:U30)</f>
        <v>#REF!</v>
      </c>
      <c r="C30" s="5" t="e">
        <f t="shared" si="21"/>
        <v>#REF!</v>
      </c>
      <c r="D30" s="5" t="e">
        <f>SUM(AH30:AS30)</f>
        <v>#REF!</v>
      </c>
      <c r="E30" s="5" t="e">
        <f t="shared" si="20"/>
        <v>#REF!</v>
      </c>
      <c r="F30" s="5" t="e">
        <f t="shared" si="22"/>
        <v>#REF!</v>
      </c>
      <c r="G30" s="12" t="e">
        <f t="shared" si="23"/>
        <v>#REF!</v>
      </c>
      <c r="H30" s="12" t="e">
        <f t="shared" si="24"/>
        <v>#REF!</v>
      </c>
      <c r="J30" s="5" t="e">
        <f>J28*' Inputs'!$C$22</f>
        <v>#REF!</v>
      </c>
      <c r="K30" s="5" t="e">
        <f>K28*' Inputs'!$C$22</f>
        <v>#REF!</v>
      </c>
      <c r="L30" s="5" t="e">
        <f>L28*' Inputs'!$C$22</f>
        <v>#REF!</v>
      </c>
      <c r="M30" s="5" t="e">
        <f>M28*' Inputs'!$C$22</f>
        <v>#REF!</v>
      </c>
      <c r="N30" s="5" t="e">
        <f>N28*' Inputs'!$C$22</f>
        <v>#REF!</v>
      </c>
      <c r="O30" s="5" t="e">
        <f>O28*' Inputs'!$C$22</f>
        <v>#REF!</v>
      </c>
      <c r="P30" s="5" t="e">
        <f>P28*' Inputs'!$C$22</f>
        <v>#REF!</v>
      </c>
      <c r="Q30" s="5" t="e">
        <f>Q28*' Inputs'!$C$22</f>
        <v>#REF!</v>
      </c>
      <c r="R30" s="5" t="e">
        <f>R28*' Inputs'!$C$22</f>
        <v>#REF!</v>
      </c>
      <c r="S30" s="5" t="e">
        <f>S28*' Inputs'!$C$22</f>
        <v>#REF!</v>
      </c>
      <c r="T30" s="5" t="e">
        <f>T28*' Inputs'!$C$22</f>
        <v>#REF!</v>
      </c>
      <c r="U30" s="5" t="e">
        <f>U28*' Inputs'!$C$22</f>
        <v>#REF!</v>
      </c>
      <c r="V30" s="5" t="e">
        <f>V28*' Inputs'!$D$22</f>
        <v>#REF!</v>
      </c>
      <c r="W30" s="5" t="e">
        <f>W28*' Inputs'!$D$22</f>
        <v>#REF!</v>
      </c>
      <c r="X30" s="5" t="e">
        <f>X28*' Inputs'!$D$22</f>
        <v>#REF!</v>
      </c>
      <c r="Y30" s="5" t="e">
        <f>Y28*' Inputs'!$D$22</f>
        <v>#REF!</v>
      </c>
      <c r="Z30" s="5" t="e">
        <f>Z28*' Inputs'!$D$22</f>
        <v>#REF!</v>
      </c>
      <c r="AA30" s="5" t="e">
        <f>AA28*' Inputs'!$D$22</f>
        <v>#REF!</v>
      </c>
      <c r="AB30" s="5" t="e">
        <f>AB28*' Inputs'!$D$22</f>
        <v>#REF!</v>
      </c>
      <c r="AC30" s="5" t="e">
        <f>AC28*' Inputs'!$D$22</f>
        <v>#REF!</v>
      </c>
      <c r="AD30" s="5" t="e">
        <f>AD28*' Inputs'!$D$22</f>
        <v>#REF!</v>
      </c>
      <c r="AE30" s="5" t="e">
        <f>AE28*' Inputs'!$D$22</f>
        <v>#REF!</v>
      </c>
      <c r="AF30" s="5" t="e">
        <f>AF28*' Inputs'!$D$22</f>
        <v>#REF!</v>
      </c>
      <c r="AG30" s="5" t="e">
        <f>AG28*' Inputs'!$D$22</f>
        <v>#REF!</v>
      </c>
      <c r="AH30" s="5" t="e">
        <f>AH28*' Inputs'!$E$22</f>
        <v>#REF!</v>
      </c>
      <c r="AI30" s="5" t="e">
        <f>AI28*' Inputs'!$E$22</f>
        <v>#REF!</v>
      </c>
      <c r="AJ30" s="5" t="e">
        <f>AJ28*' Inputs'!$E$22</f>
        <v>#REF!</v>
      </c>
      <c r="AK30" s="5" t="e">
        <f>AK28*' Inputs'!$E$22</f>
        <v>#REF!</v>
      </c>
      <c r="AL30" s="5" t="e">
        <f>AL28*' Inputs'!$E$22</f>
        <v>#REF!</v>
      </c>
      <c r="AM30" s="5" t="e">
        <f>AM28*' Inputs'!$E$22</f>
        <v>#REF!</v>
      </c>
      <c r="AN30" s="5" t="e">
        <f>AN28*' Inputs'!$E$22</f>
        <v>#REF!</v>
      </c>
      <c r="AO30" s="5" t="e">
        <f>AO28*' Inputs'!$E$22</f>
        <v>#REF!</v>
      </c>
      <c r="AP30" s="5" t="e">
        <f>AP28*' Inputs'!$E$22</f>
        <v>#REF!</v>
      </c>
      <c r="AQ30" s="5" t="e">
        <f>AQ28*' Inputs'!$E$22</f>
        <v>#REF!</v>
      </c>
      <c r="AR30" s="5" t="e">
        <f>AR28*' Inputs'!$E$22</f>
        <v>#REF!</v>
      </c>
      <c r="AS30" s="5" t="e">
        <f>AS28*' Inputs'!$E$22</f>
        <v>#REF!</v>
      </c>
      <c r="AT30" s="5" t="e">
        <f>AT28*' Inputs'!$F$22</f>
        <v>#REF!</v>
      </c>
      <c r="AU30" s="5" t="e">
        <f>AU28*' Inputs'!$F$22</f>
        <v>#REF!</v>
      </c>
      <c r="AV30" s="5" t="e">
        <f>AV28*' Inputs'!$F$22</f>
        <v>#REF!</v>
      </c>
      <c r="AW30" s="5" t="e">
        <f>AW28*' Inputs'!$F$22</f>
        <v>#REF!</v>
      </c>
      <c r="AX30" s="5" t="e">
        <f>AX28*' Inputs'!$F$22</f>
        <v>#REF!</v>
      </c>
      <c r="AY30" s="5" t="e">
        <f>AY28*' Inputs'!$F$22</f>
        <v>#REF!</v>
      </c>
      <c r="AZ30" s="5" t="e">
        <f>AZ28*' Inputs'!$F$22</f>
        <v>#REF!</v>
      </c>
      <c r="BA30" s="5" t="e">
        <f>BA28*' Inputs'!$F$22</f>
        <v>#REF!</v>
      </c>
      <c r="BB30" s="5" t="e">
        <f>BB28*' Inputs'!$F$22</f>
        <v>#REF!</v>
      </c>
      <c r="BC30" s="5" t="e">
        <f>BC28*' Inputs'!$F$22</f>
        <v>#REF!</v>
      </c>
      <c r="BD30" s="5" t="e">
        <f>BD28*' Inputs'!$F$22</f>
        <v>#REF!</v>
      </c>
      <c r="BE30" s="5" t="e">
        <f>BE28*' Inputs'!$F$22</f>
        <v>#REF!</v>
      </c>
      <c r="BF30" s="5" t="e">
        <f>BF28*' Inputs'!$G$22</f>
        <v>#REF!</v>
      </c>
      <c r="BG30" s="5" t="e">
        <f>BG28*' Inputs'!$G$22</f>
        <v>#REF!</v>
      </c>
      <c r="BH30" s="5" t="e">
        <f>BH28*' Inputs'!$G$22</f>
        <v>#REF!</v>
      </c>
      <c r="BI30" s="5" t="e">
        <f>BI28*' Inputs'!$G$22</f>
        <v>#REF!</v>
      </c>
      <c r="BJ30" s="5" t="e">
        <f>BJ28*' Inputs'!$G$22</f>
        <v>#REF!</v>
      </c>
      <c r="BK30" s="5" t="e">
        <f>BK28*' Inputs'!$G$22</f>
        <v>#REF!</v>
      </c>
      <c r="BL30" s="5" t="e">
        <f>BL28*' Inputs'!$G$22</f>
        <v>#REF!</v>
      </c>
      <c r="BM30" s="5" t="e">
        <f>BM28*' Inputs'!$G$22</f>
        <v>#REF!</v>
      </c>
      <c r="BN30" s="5" t="e">
        <f>BN28*' Inputs'!$G$22</f>
        <v>#REF!</v>
      </c>
      <c r="BO30" s="5" t="e">
        <f>BO28*' Inputs'!$G$22</f>
        <v>#REF!</v>
      </c>
      <c r="BP30" s="5" t="e">
        <f>BP28*' Inputs'!$G$22</f>
        <v>#REF!</v>
      </c>
      <c r="BQ30" s="5" t="e">
        <f>BQ28*' Inputs'!$G$22</f>
        <v>#REF!</v>
      </c>
      <c r="BR30" s="5" t="e">
        <f>BR28*' Inputs'!$H$22</f>
        <v>#REF!</v>
      </c>
      <c r="BS30" s="5" t="e">
        <f>BS28*' Inputs'!$H$22</f>
        <v>#REF!</v>
      </c>
      <c r="BT30" s="5" t="e">
        <f>BT28*' Inputs'!$H$22</f>
        <v>#REF!</v>
      </c>
      <c r="BU30" s="5" t="e">
        <f>BU28*' Inputs'!$H$22</f>
        <v>#REF!</v>
      </c>
      <c r="BV30" s="5" t="e">
        <f>BV28*' Inputs'!$H$22</f>
        <v>#REF!</v>
      </c>
      <c r="BW30" s="5" t="e">
        <f>BW28*' Inputs'!$H$22</f>
        <v>#REF!</v>
      </c>
      <c r="BX30" s="5" t="e">
        <f>BX28*' Inputs'!$H$22</f>
        <v>#REF!</v>
      </c>
      <c r="BY30" s="5" t="e">
        <f>BY28*' Inputs'!$H$22</f>
        <v>#REF!</v>
      </c>
      <c r="BZ30" s="5" t="e">
        <f>BZ28*' Inputs'!$H$22</f>
        <v>#REF!</v>
      </c>
      <c r="CA30" s="5" t="e">
        <f>CA28*' Inputs'!$H$22</f>
        <v>#REF!</v>
      </c>
      <c r="CB30" s="5" t="e">
        <f>CB28*' Inputs'!$H$22</f>
        <v>#REF!</v>
      </c>
      <c r="CC30" s="5" t="e">
        <f>CC28*' Inputs'!$H$22</f>
        <v>#REF!</v>
      </c>
      <c r="CD30" s="5" t="e">
        <f>CD28*' Inputs'!$H$22</f>
        <v>#REF!</v>
      </c>
      <c r="CE30" s="5" t="e">
        <f>CE28*' Inputs'!$H$22</f>
        <v>#REF!</v>
      </c>
      <c r="CF30" s="5" t="e">
        <f>CF28*' Inputs'!$H$22</f>
        <v>#REF!</v>
      </c>
      <c r="CG30" s="5" t="e">
        <f>CG28*' Inputs'!$H$22</f>
        <v>#REF!</v>
      </c>
      <c r="CH30" s="5" t="e">
        <f>CH28*' Inputs'!$H$22</f>
        <v>#REF!</v>
      </c>
      <c r="CI30" s="5" t="e">
        <f>CI28*' Inputs'!$H$22</f>
        <v>#REF!</v>
      </c>
      <c r="CJ30" s="5" t="e">
        <f>CJ28*' Inputs'!$H$22</f>
        <v>#REF!</v>
      </c>
      <c r="CK30" s="5" t="e">
        <f>CK28*' Inputs'!$H$22</f>
        <v>#REF!</v>
      </c>
      <c r="CL30" s="5" t="e">
        <f>CL28*' Inputs'!$H$22</f>
        <v>#REF!</v>
      </c>
      <c r="CM30" s="5" t="e">
        <f>CM28*' Inputs'!$H$22</f>
        <v>#REF!</v>
      </c>
      <c r="CN30" s="5" t="e">
        <f>CN28*' Inputs'!$H$22</f>
        <v>#REF!</v>
      </c>
      <c r="CO30" s="5" t="e">
        <f>CO28*' Inputs'!$H$22</f>
        <v>#REF!</v>
      </c>
    </row>
    <row r="31" spans="1:93" x14ac:dyDescent="0.2">
      <c r="A31" t="s">
        <v>16</v>
      </c>
      <c r="B31" s="5" t="e">
        <f t="shared" ref="B31:B35" si="29">SUM(J31:U31)</f>
        <v>#REF!</v>
      </c>
      <c r="C31" s="5" t="e">
        <f t="shared" si="21"/>
        <v>#REF!</v>
      </c>
      <c r="D31" s="5" t="e">
        <f t="shared" si="19"/>
        <v>#REF!</v>
      </c>
      <c r="E31" s="5" t="e">
        <f t="shared" si="20"/>
        <v>#REF!</v>
      </c>
      <c r="F31" s="5" t="e">
        <f t="shared" si="22"/>
        <v>#REF!</v>
      </c>
      <c r="G31" s="12" t="e">
        <f t="shared" si="23"/>
        <v>#REF!</v>
      </c>
      <c r="H31" s="12" t="e">
        <f t="shared" si="24"/>
        <v>#REF!</v>
      </c>
      <c r="J31" s="5" t="e">
        <f>J29*' Inputs'!$C$26</f>
        <v>#REF!</v>
      </c>
      <c r="K31" s="5" t="e">
        <f>K29*' Inputs'!$C$26</f>
        <v>#REF!</v>
      </c>
      <c r="L31" s="5" t="e">
        <f>L29*' Inputs'!$C$26</f>
        <v>#REF!</v>
      </c>
      <c r="M31" s="5" t="e">
        <f>M29*' Inputs'!$C$26</f>
        <v>#REF!</v>
      </c>
      <c r="N31" s="5" t="e">
        <f>N29*' Inputs'!$C$26</f>
        <v>#REF!</v>
      </c>
      <c r="O31" s="5" t="e">
        <f>O29*' Inputs'!$C$26</f>
        <v>#REF!</v>
      </c>
      <c r="P31" s="5" t="e">
        <f>P29*' Inputs'!$C$26</f>
        <v>#REF!</v>
      </c>
      <c r="Q31" s="5" t="e">
        <f>Q29*' Inputs'!$C$26</f>
        <v>#REF!</v>
      </c>
      <c r="R31" s="5" t="e">
        <f>R29*' Inputs'!$C$26</f>
        <v>#REF!</v>
      </c>
      <c r="S31" s="5" t="e">
        <f>S29*' Inputs'!$C$26</f>
        <v>#REF!</v>
      </c>
      <c r="T31" s="5" t="e">
        <f>T29*' Inputs'!$C$26</f>
        <v>#REF!</v>
      </c>
      <c r="U31" s="5" t="e">
        <f>U29*' Inputs'!$C$26</f>
        <v>#REF!</v>
      </c>
      <c r="V31" s="5" t="e">
        <f>V29*' Inputs'!$D$26</f>
        <v>#REF!</v>
      </c>
      <c r="W31" s="5" t="e">
        <f>W29*' Inputs'!$D$26</f>
        <v>#REF!</v>
      </c>
      <c r="X31" s="5" t="e">
        <f>X29*' Inputs'!$D$26</f>
        <v>#REF!</v>
      </c>
      <c r="Y31" s="5" t="e">
        <f>Y29*' Inputs'!$D$26</f>
        <v>#REF!</v>
      </c>
      <c r="Z31" s="5" t="e">
        <f>Z29*' Inputs'!$D$26</f>
        <v>#REF!</v>
      </c>
      <c r="AA31" s="5" t="e">
        <f>AA29*' Inputs'!$D$26</f>
        <v>#REF!</v>
      </c>
      <c r="AB31" s="5" t="e">
        <f>AB29*' Inputs'!$D$26</f>
        <v>#REF!</v>
      </c>
      <c r="AC31" s="5" t="e">
        <f>AC29*' Inputs'!$D$26</f>
        <v>#REF!</v>
      </c>
      <c r="AD31" s="5" t="e">
        <f>AD29*' Inputs'!$D$26</f>
        <v>#REF!</v>
      </c>
      <c r="AE31" s="5" t="e">
        <f>AE29*' Inputs'!$D$26</f>
        <v>#REF!</v>
      </c>
      <c r="AF31" s="5" t="e">
        <f>AF29*' Inputs'!$D$26</f>
        <v>#REF!</v>
      </c>
      <c r="AG31" s="5" t="e">
        <f>AG29*' Inputs'!$D$26</f>
        <v>#REF!</v>
      </c>
      <c r="AH31" s="5" t="e">
        <f>AH29*' Inputs'!$E$26</f>
        <v>#REF!</v>
      </c>
      <c r="AI31" s="5" t="e">
        <f>AI29*' Inputs'!$E$26</f>
        <v>#REF!</v>
      </c>
      <c r="AJ31" s="5" t="e">
        <f>AJ29*' Inputs'!$E$26</f>
        <v>#REF!</v>
      </c>
      <c r="AK31" s="5" t="e">
        <f>AK29*' Inputs'!$E$26</f>
        <v>#REF!</v>
      </c>
      <c r="AL31" s="5" t="e">
        <f>AL29*' Inputs'!$E$26</f>
        <v>#REF!</v>
      </c>
      <c r="AM31" s="5" t="e">
        <f>AM29*' Inputs'!$E$26</f>
        <v>#REF!</v>
      </c>
      <c r="AN31" s="5" t="e">
        <f>AN29*' Inputs'!$E$26</f>
        <v>#REF!</v>
      </c>
      <c r="AO31" s="5" t="e">
        <f>AO29*' Inputs'!$E$26</f>
        <v>#REF!</v>
      </c>
      <c r="AP31" s="5" t="e">
        <f>AP29*' Inputs'!$E$26</f>
        <v>#REF!</v>
      </c>
      <c r="AQ31" s="5" t="e">
        <f>AQ29*' Inputs'!$E$26</f>
        <v>#REF!</v>
      </c>
      <c r="AR31" s="5" t="e">
        <f>AR29*' Inputs'!$E$26</f>
        <v>#REF!</v>
      </c>
      <c r="AS31" s="5" t="e">
        <f>AS29*' Inputs'!$E$26</f>
        <v>#REF!</v>
      </c>
      <c r="AT31" s="5" t="e">
        <f>AT29*' Inputs'!$F$26</f>
        <v>#REF!</v>
      </c>
      <c r="AU31" s="5" t="e">
        <f>AU29*' Inputs'!$F$26</f>
        <v>#REF!</v>
      </c>
      <c r="AV31" s="5" t="e">
        <f>AV29*' Inputs'!$F$26</f>
        <v>#REF!</v>
      </c>
      <c r="AW31" s="5" t="e">
        <f>AW29*' Inputs'!$F$26</f>
        <v>#REF!</v>
      </c>
      <c r="AX31" s="5" t="e">
        <f>AX29*' Inputs'!$F$26</f>
        <v>#REF!</v>
      </c>
      <c r="AY31" s="5" t="e">
        <f>AY29*' Inputs'!$F$26</f>
        <v>#REF!</v>
      </c>
      <c r="AZ31" s="5" t="e">
        <f>AZ29*' Inputs'!$F$26</f>
        <v>#REF!</v>
      </c>
      <c r="BA31" s="5" t="e">
        <f>BA29*' Inputs'!$F$26</f>
        <v>#REF!</v>
      </c>
      <c r="BB31" s="5" t="e">
        <f>BB29*' Inputs'!$F$26</f>
        <v>#REF!</v>
      </c>
      <c r="BC31" s="5" t="e">
        <f>BC29*' Inputs'!$F$26</f>
        <v>#REF!</v>
      </c>
      <c r="BD31" s="5" t="e">
        <f>BD29*' Inputs'!$F$26</f>
        <v>#REF!</v>
      </c>
      <c r="BE31" s="5" t="e">
        <f>BE29*' Inputs'!$F$26</f>
        <v>#REF!</v>
      </c>
      <c r="BF31" s="5" t="e">
        <f>BF29*' Inputs'!$G$26</f>
        <v>#REF!</v>
      </c>
      <c r="BG31" s="5" t="e">
        <f>BG29*' Inputs'!$G$26</f>
        <v>#REF!</v>
      </c>
      <c r="BH31" s="5" t="e">
        <f>BH29*' Inputs'!$G$26</f>
        <v>#REF!</v>
      </c>
      <c r="BI31" s="5" t="e">
        <f>BI29*' Inputs'!$G$26</f>
        <v>#REF!</v>
      </c>
      <c r="BJ31" s="5" t="e">
        <f>BJ29*' Inputs'!$G$26</f>
        <v>#REF!</v>
      </c>
      <c r="BK31" s="5" t="e">
        <f>BK29*' Inputs'!$G$26</f>
        <v>#REF!</v>
      </c>
      <c r="BL31" s="5" t="e">
        <f>BL29*' Inputs'!$G$26</f>
        <v>#REF!</v>
      </c>
      <c r="BM31" s="5" t="e">
        <f>BM29*' Inputs'!$G$26</f>
        <v>#REF!</v>
      </c>
      <c r="BN31" s="5" t="e">
        <f>BN29*' Inputs'!$G$26</f>
        <v>#REF!</v>
      </c>
      <c r="BO31" s="5" t="e">
        <f>BO29*' Inputs'!$G$26</f>
        <v>#REF!</v>
      </c>
      <c r="BP31" s="5" t="e">
        <f>BP29*' Inputs'!$G$26</f>
        <v>#REF!</v>
      </c>
      <c r="BQ31" s="5" t="e">
        <f>BQ29*' Inputs'!$G$26</f>
        <v>#REF!</v>
      </c>
      <c r="BR31" s="5" t="e">
        <f>BR29*' Inputs'!$H$26</f>
        <v>#REF!</v>
      </c>
      <c r="BS31" s="5" t="e">
        <f>BS29*' Inputs'!$H$26</f>
        <v>#REF!</v>
      </c>
      <c r="BT31" s="5" t="e">
        <f>BT29*' Inputs'!$H$26</f>
        <v>#REF!</v>
      </c>
      <c r="BU31" s="5" t="e">
        <f>BU29*' Inputs'!$H$26</f>
        <v>#REF!</v>
      </c>
      <c r="BV31" s="5" t="e">
        <f>BV29*' Inputs'!$H$26</f>
        <v>#REF!</v>
      </c>
      <c r="BW31" s="5" t="e">
        <f>BW29*' Inputs'!$H$26</f>
        <v>#REF!</v>
      </c>
      <c r="BX31" s="5" t="e">
        <f>BX29*' Inputs'!$H$26</f>
        <v>#REF!</v>
      </c>
      <c r="BY31" s="5" t="e">
        <f>BY29*' Inputs'!$H$26</f>
        <v>#REF!</v>
      </c>
      <c r="BZ31" s="5" t="e">
        <f>BZ29*' Inputs'!$H$26</f>
        <v>#REF!</v>
      </c>
      <c r="CA31" s="5" t="e">
        <f>CA29*' Inputs'!$H$26</f>
        <v>#REF!</v>
      </c>
      <c r="CB31" s="5" t="e">
        <f>CB29*' Inputs'!$H$26</f>
        <v>#REF!</v>
      </c>
      <c r="CC31" s="5" t="e">
        <f>CC29*' Inputs'!$H$26</f>
        <v>#REF!</v>
      </c>
      <c r="CD31" s="5" t="e">
        <f>CD29*' Inputs'!$H$26</f>
        <v>#REF!</v>
      </c>
      <c r="CE31" s="5" t="e">
        <f>CE29*' Inputs'!$H$26</f>
        <v>#REF!</v>
      </c>
      <c r="CF31" s="5" t="e">
        <f>CF29*' Inputs'!$H$26</f>
        <v>#REF!</v>
      </c>
      <c r="CG31" s="5" t="e">
        <f>CG29*' Inputs'!$H$26</f>
        <v>#REF!</v>
      </c>
      <c r="CH31" s="5" t="e">
        <f>CH29*' Inputs'!$H$26</f>
        <v>#REF!</v>
      </c>
      <c r="CI31" s="5" t="e">
        <f>CI29*' Inputs'!$H$26</f>
        <v>#REF!</v>
      </c>
      <c r="CJ31" s="5" t="e">
        <f>CJ29*' Inputs'!$H$26</f>
        <v>#REF!</v>
      </c>
      <c r="CK31" s="5" t="e">
        <f>CK29*' Inputs'!$H$26</f>
        <v>#REF!</v>
      </c>
      <c r="CL31" s="5" t="e">
        <f>CL29*' Inputs'!$H$26</f>
        <v>#REF!</v>
      </c>
      <c r="CM31" s="5" t="e">
        <f>CM29*' Inputs'!$H$26</f>
        <v>#REF!</v>
      </c>
      <c r="CN31" s="5" t="e">
        <f>CN29*' Inputs'!$H$26</f>
        <v>#REF!</v>
      </c>
      <c r="CO31" s="5" t="e">
        <f>CO29*' Inputs'!$H$26</f>
        <v>#REF!</v>
      </c>
    </row>
    <row r="32" spans="1:93" x14ac:dyDescent="0.2">
      <c r="A32" s="15" t="s">
        <v>88</v>
      </c>
      <c r="B32" s="16" t="e">
        <f>SUM(J32:U32)</f>
        <v>#REF!</v>
      </c>
      <c r="C32" s="16" t="e">
        <f t="shared" si="21"/>
        <v>#REF!</v>
      </c>
      <c r="D32" s="16" t="e">
        <f t="shared" si="19"/>
        <v>#REF!</v>
      </c>
      <c r="E32" s="16" t="e">
        <f t="shared" si="20"/>
        <v>#REF!</v>
      </c>
      <c r="F32" s="16" t="e">
        <f t="shared" si="22"/>
        <v>#REF!</v>
      </c>
      <c r="G32" s="8" t="e">
        <f t="shared" si="23"/>
        <v>#REF!</v>
      </c>
      <c r="H32" s="8" t="e">
        <f t="shared" si="24"/>
        <v>#REF!</v>
      </c>
      <c r="J32" s="5" t="e">
        <f>J30+J31</f>
        <v>#REF!</v>
      </c>
      <c r="K32" s="5" t="e">
        <f t="shared" ref="K32:T32" si="30">K30+K31</f>
        <v>#REF!</v>
      </c>
      <c r="L32" s="5" t="e">
        <f t="shared" si="30"/>
        <v>#REF!</v>
      </c>
      <c r="M32" s="5" t="e">
        <f t="shared" si="30"/>
        <v>#REF!</v>
      </c>
      <c r="N32" s="5" t="e">
        <f t="shared" si="30"/>
        <v>#REF!</v>
      </c>
      <c r="O32" s="5" t="e">
        <f t="shared" si="30"/>
        <v>#REF!</v>
      </c>
      <c r="P32" s="5" t="e">
        <f t="shared" si="30"/>
        <v>#REF!</v>
      </c>
      <c r="Q32" s="5" t="e">
        <f t="shared" si="30"/>
        <v>#REF!</v>
      </c>
      <c r="R32" s="5" t="e">
        <f t="shared" si="30"/>
        <v>#REF!</v>
      </c>
      <c r="S32" s="5" t="e">
        <f t="shared" si="30"/>
        <v>#REF!</v>
      </c>
      <c r="T32" s="5" t="e">
        <f t="shared" si="30"/>
        <v>#REF!</v>
      </c>
      <c r="U32" s="5" t="e">
        <f>U30+U31</f>
        <v>#REF!</v>
      </c>
      <c r="V32" s="5" t="e">
        <f>V30+V31</f>
        <v>#REF!</v>
      </c>
      <c r="W32" s="5" t="e">
        <f t="shared" ref="W32:CH32" si="31">W30+W31</f>
        <v>#REF!</v>
      </c>
      <c r="X32" s="5" t="e">
        <f t="shared" si="31"/>
        <v>#REF!</v>
      </c>
      <c r="Y32" s="5" t="e">
        <f t="shared" si="31"/>
        <v>#REF!</v>
      </c>
      <c r="Z32" s="5" t="e">
        <f t="shared" si="31"/>
        <v>#REF!</v>
      </c>
      <c r="AA32" s="5" t="e">
        <f t="shared" si="31"/>
        <v>#REF!</v>
      </c>
      <c r="AB32" s="5" t="e">
        <f t="shared" si="31"/>
        <v>#REF!</v>
      </c>
      <c r="AC32" s="5" t="e">
        <f t="shared" si="31"/>
        <v>#REF!</v>
      </c>
      <c r="AD32" s="5" t="e">
        <f t="shared" si="31"/>
        <v>#REF!</v>
      </c>
      <c r="AE32" s="5" t="e">
        <f t="shared" si="31"/>
        <v>#REF!</v>
      </c>
      <c r="AF32" s="5" t="e">
        <f t="shared" si="31"/>
        <v>#REF!</v>
      </c>
      <c r="AG32" s="5" t="e">
        <f t="shared" si="31"/>
        <v>#REF!</v>
      </c>
      <c r="AH32" s="5" t="e">
        <f t="shared" si="31"/>
        <v>#REF!</v>
      </c>
      <c r="AI32" s="5" t="e">
        <f t="shared" si="31"/>
        <v>#REF!</v>
      </c>
      <c r="AJ32" s="5" t="e">
        <f t="shared" si="31"/>
        <v>#REF!</v>
      </c>
      <c r="AK32" s="5" t="e">
        <f t="shared" si="31"/>
        <v>#REF!</v>
      </c>
      <c r="AL32" s="5" t="e">
        <f t="shared" si="31"/>
        <v>#REF!</v>
      </c>
      <c r="AM32" s="5" t="e">
        <f t="shared" si="31"/>
        <v>#REF!</v>
      </c>
      <c r="AN32" s="5" t="e">
        <f t="shared" si="31"/>
        <v>#REF!</v>
      </c>
      <c r="AO32" s="5" t="e">
        <f t="shared" si="31"/>
        <v>#REF!</v>
      </c>
      <c r="AP32" s="5" t="e">
        <f t="shared" si="31"/>
        <v>#REF!</v>
      </c>
      <c r="AQ32" s="5" t="e">
        <f t="shared" si="31"/>
        <v>#REF!</v>
      </c>
      <c r="AR32" s="5" t="e">
        <f t="shared" si="31"/>
        <v>#REF!</v>
      </c>
      <c r="AS32" s="5" t="e">
        <f t="shared" si="31"/>
        <v>#REF!</v>
      </c>
      <c r="AT32" s="5" t="e">
        <f t="shared" si="31"/>
        <v>#REF!</v>
      </c>
      <c r="AU32" s="5" t="e">
        <f t="shared" si="31"/>
        <v>#REF!</v>
      </c>
      <c r="AV32" s="5" t="e">
        <f t="shared" si="31"/>
        <v>#REF!</v>
      </c>
      <c r="AW32" s="5" t="e">
        <f t="shared" si="31"/>
        <v>#REF!</v>
      </c>
      <c r="AX32" s="5" t="e">
        <f t="shared" si="31"/>
        <v>#REF!</v>
      </c>
      <c r="AY32" s="5" t="e">
        <f t="shared" si="31"/>
        <v>#REF!</v>
      </c>
      <c r="AZ32" s="5" t="e">
        <f t="shared" si="31"/>
        <v>#REF!</v>
      </c>
      <c r="BA32" s="5" t="e">
        <f t="shared" si="31"/>
        <v>#REF!</v>
      </c>
      <c r="BB32" s="5" t="e">
        <f t="shared" si="31"/>
        <v>#REF!</v>
      </c>
      <c r="BC32" s="5" t="e">
        <f t="shared" si="31"/>
        <v>#REF!</v>
      </c>
      <c r="BD32" s="5" t="e">
        <f t="shared" si="31"/>
        <v>#REF!</v>
      </c>
      <c r="BE32" s="5" t="e">
        <f t="shared" si="31"/>
        <v>#REF!</v>
      </c>
      <c r="BF32" s="5" t="e">
        <f t="shared" si="31"/>
        <v>#REF!</v>
      </c>
      <c r="BG32" s="5" t="e">
        <f t="shared" si="31"/>
        <v>#REF!</v>
      </c>
      <c r="BH32" s="5" t="e">
        <f t="shared" si="31"/>
        <v>#REF!</v>
      </c>
      <c r="BI32" s="5" t="e">
        <f t="shared" si="31"/>
        <v>#REF!</v>
      </c>
      <c r="BJ32" s="5" t="e">
        <f t="shared" si="31"/>
        <v>#REF!</v>
      </c>
      <c r="BK32" s="5" t="e">
        <f t="shared" si="31"/>
        <v>#REF!</v>
      </c>
      <c r="BL32" s="5" t="e">
        <f t="shared" si="31"/>
        <v>#REF!</v>
      </c>
      <c r="BM32" s="5" t="e">
        <f t="shared" si="31"/>
        <v>#REF!</v>
      </c>
      <c r="BN32" s="5" t="e">
        <f t="shared" si="31"/>
        <v>#REF!</v>
      </c>
      <c r="BO32" s="5" t="e">
        <f t="shared" si="31"/>
        <v>#REF!</v>
      </c>
      <c r="BP32" s="5" t="e">
        <f t="shared" si="31"/>
        <v>#REF!</v>
      </c>
      <c r="BQ32" s="5" t="e">
        <f t="shared" si="31"/>
        <v>#REF!</v>
      </c>
      <c r="BR32" s="5" t="e">
        <f t="shared" si="31"/>
        <v>#REF!</v>
      </c>
      <c r="BS32" s="5" t="e">
        <f t="shared" si="31"/>
        <v>#REF!</v>
      </c>
      <c r="BT32" s="5" t="e">
        <f t="shared" si="31"/>
        <v>#REF!</v>
      </c>
      <c r="BU32" s="5" t="e">
        <f t="shared" si="31"/>
        <v>#REF!</v>
      </c>
      <c r="BV32" s="5" t="e">
        <f t="shared" si="31"/>
        <v>#REF!</v>
      </c>
      <c r="BW32" s="5" t="e">
        <f t="shared" si="31"/>
        <v>#REF!</v>
      </c>
      <c r="BX32" s="5" t="e">
        <f t="shared" si="31"/>
        <v>#REF!</v>
      </c>
      <c r="BY32" s="5" t="e">
        <f t="shared" si="31"/>
        <v>#REF!</v>
      </c>
      <c r="BZ32" s="5" t="e">
        <f t="shared" si="31"/>
        <v>#REF!</v>
      </c>
      <c r="CA32" s="5" t="e">
        <f t="shared" si="31"/>
        <v>#REF!</v>
      </c>
      <c r="CB32" s="5" t="e">
        <f t="shared" si="31"/>
        <v>#REF!</v>
      </c>
      <c r="CC32" s="5" t="e">
        <f t="shared" si="31"/>
        <v>#REF!</v>
      </c>
      <c r="CD32" s="5" t="e">
        <f t="shared" si="31"/>
        <v>#REF!</v>
      </c>
      <c r="CE32" s="5" t="e">
        <f t="shared" si="31"/>
        <v>#REF!</v>
      </c>
      <c r="CF32" s="5" t="e">
        <f t="shared" si="31"/>
        <v>#REF!</v>
      </c>
      <c r="CG32" s="5" t="e">
        <f t="shared" si="31"/>
        <v>#REF!</v>
      </c>
      <c r="CH32" s="5" t="e">
        <f t="shared" si="31"/>
        <v>#REF!</v>
      </c>
      <c r="CI32" s="5" t="e">
        <f t="shared" ref="CI32:CO32" si="32">CI30+CI31</f>
        <v>#REF!</v>
      </c>
      <c r="CJ32" s="5" t="e">
        <f t="shared" si="32"/>
        <v>#REF!</v>
      </c>
      <c r="CK32" s="5" t="e">
        <f t="shared" si="32"/>
        <v>#REF!</v>
      </c>
      <c r="CL32" s="5" t="e">
        <f t="shared" si="32"/>
        <v>#REF!</v>
      </c>
      <c r="CM32" s="5" t="e">
        <f t="shared" si="32"/>
        <v>#REF!</v>
      </c>
      <c r="CN32" s="5" t="e">
        <f t="shared" si="32"/>
        <v>#REF!</v>
      </c>
      <c r="CO32" s="5" t="e">
        <f t="shared" si="32"/>
        <v>#REF!</v>
      </c>
    </row>
    <row r="33" spans="1:93" x14ac:dyDescent="0.2">
      <c r="A33" s="28" t="s">
        <v>87</v>
      </c>
      <c r="B33" s="46" t="e">
        <f>B32/B29</f>
        <v>#REF!</v>
      </c>
      <c r="C33" s="46" t="e">
        <f t="shared" ref="C33:H33" si="33">C32/C29</f>
        <v>#REF!</v>
      </c>
      <c r="D33" s="46" t="e">
        <f>D32/D29</f>
        <v>#REF!</v>
      </c>
      <c r="E33" s="46" t="e">
        <f t="shared" si="33"/>
        <v>#REF!</v>
      </c>
      <c r="F33" s="46" t="e">
        <f t="shared" si="33"/>
        <v>#REF!</v>
      </c>
      <c r="G33" s="46" t="e">
        <f t="shared" si="33"/>
        <v>#REF!</v>
      </c>
      <c r="H33" s="46" t="e">
        <f t="shared" si="33"/>
        <v>#REF!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</row>
    <row r="34" spans="1:93" x14ac:dyDescent="0.2">
      <c r="B34" s="14"/>
      <c r="C34" s="14"/>
      <c r="D34" s="14"/>
      <c r="E34" s="14"/>
      <c r="F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</row>
    <row r="35" spans="1:93" x14ac:dyDescent="0.2">
      <c r="A35" s="15" t="s">
        <v>86</v>
      </c>
      <c r="B35" s="16">
        <f t="shared" si="29"/>
        <v>0</v>
      </c>
      <c r="C35" s="16">
        <f>SUM(V35:AG35)</f>
        <v>19481.622342133807</v>
      </c>
      <c r="D35" s="16">
        <f t="shared" si="19"/>
        <v>140511.43774726329</v>
      </c>
      <c r="E35" s="16">
        <f t="shared" si="20"/>
        <v>1350974.0871068854</v>
      </c>
      <c r="F35" s="16">
        <f t="shared" si="22"/>
        <v>7228049.2520358665</v>
      </c>
      <c r="G35" s="8">
        <f t="shared" si="23"/>
        <v>38671871.273074083</v>
      </c>
      <c r="H35" s="8">
        <f>SUM(CD35:CO35)</f>
        <v>206904183.35763043</v>
      </c>
      <c r="J35" s="12">
        <f>' Inputs'!$C$29*Subscriptions!J13</f>
        <v>0</v>
      </c>
      <c r="K35" s="12">
        <f>' Inputs'!$C$29*Subscriptions!K13</f>
        <v>0</v>
      </c>
      <c r="L35" s="12">
        <f>' Inputs'!$C$29*Subscriptions!L13</f>
        <v>0</v>
      </c>
      <c r="M35" s="12">
        <f>' Inputs'!$C$29*Subscriptions!M13</f>
        <v>0</v>
      </c>
      <c r="N35" s="12">
        <f>' Inputs'!$C$29*Subscriptions!N13</f>
        <v>0</v>
      </c>
      <c r="O35" s="12">
        <f>' Inputs'!$C$29*Subscriptions!O13</f>
        <v>0</v>
      </c>
      <c r="P35" s="12">
        <f>' Inputs'!$C$29*Subscriptions!P13</f>
        <v>0</v>
      </c>
      <c r="Q35" s="12">
        <f>' Inputs'!$C$29*Subscriptions!Q13</f>
        <v>0</v>
      </c>
      <c r="R35" s="12">
        <f>' Inputs'!$C$29*Subscriptions!R13</f>
        <v>0</v>
      </c>
      <c r="S35" s="12">
        <f>' Inputs'!$C$29*Subscriptions!S13</f>
        <v>0</v>
      </c>
      <c r="T35" s="12">
        <f>' Inputs'!$C$29*Subscriptions!T13</f>
        <v>0</v>
      </c>
      <c r="U35" s="12">
        <f>' Inputs'!$C$29*Subscriptions!U13</f>
        <v>0</v>
      </c>
      <c r="V35" s="12">
        <f>' Inputs'!$D$29*Subscriptions!V13</f>
        <v>911.02524425000024</v>
      </c>
      <c r="W35" s="12">
        <f>' Inputs'!$D$29*Subscriptions!W13</f>
        <v>1002.1277686750002</v>
      </c>
      <c r="X35" s="12">
        <f>' Inputs'!$D$29*Subscriptions!X13</f>
        <v>1102.3405455425002</v>
      </c>
      <c r="Y35" s="12">
        <f>' Inputs'!$D$29*Subscriptions!Y13</f>
        <v>1212.5746000967504</v>
      </c>
      <c r="Z35" s="12">
        <f>' Inputs'!$D$29*Subscriptions!Z13</f>
        <v>1333.8320601064254</v>
      </c>
      <c r="AA35" s="12">
        <f>' Inputs'!$D$29*Subscriptions!AA13</f>
        <v>1467.215266117068</v>
      </c>
      <c r="AB35" s="12">
        <f>' Inputs'!$D$29*Subscriptions!AB13</f>
        <v>1613.9367927287747</v>
      </c>
      <c r="AC35" s="12">
        <f>' Inputs'!$D$29*Subscriptions!AC13</f>
        <v>1775.3304720016522</v>
      </c>
      <c r="AD35" s="12">
        <f>' Inputs'!$D$29*Subscriptions!AD13</f>
        <v>1952.8635192018176</v>
      </c>
      <c r="AE35" s="12">
        <f>' Inputs'!$D$29*Subscriptions!AE13</f>
        <v>2148.1498711219992</v>
      </c>
      <c r="AF35" s="12">
        <f>' Inputs'!$D$29*Subscriptions!AF13</f>
        <v>2362.9648582341988</v>
      </c>
      <c r="AG35" s="12">
        <f>' Inputs'!$D$29*Subscriptions!AG13</f>
        <v>2599.2613440576188</v>
      </c>
      <c r="AH35" s="12">
        <f>' Inputs'!$E$29*Subscriptions!AH13</f>
        <v>5822.3454106890667</v>
      </c>
      <c r="AI35" s="12">
        <f>' Inputs'!$E$29*Subscriptions!AI13</f>
        <v>6521.0268599717538</v>
      </c>
      <c r="AJ35" s="12">
        <f>' Inputs'!$E$29*Subscriptions!AJ13</f>
        <v>7303.5500831683639</v>
      </c>
      <c r="AK35" s="12">
        <f>' Inputs'!$E$29*Subscriptions!AK13</f>
        <v>8179.9760931485662</v>
      </c>
      <c r="AL35" s="12">
        <f>' Inputs'!$E$29*Subscriptions!AL13</f>
        <v>9161.5732243263956</v>
      </c>
      <c r="AM35" s="12">
        <f>' Inputs'!$E$29*Subscriptions!AM13</f>
        <v>10260.962011245561</v>
      </c>
      <c r="AN35" s="12">
        <f>' Inputs'!$E$29*Subscriptions!AN13</f>
        <v>11492.277452595028</v>
      </c>
      <c r="AO35" s="12">
        <f>' Inputs'!$E$29*Subscriptions!AO13</f>
        <v>12871.350746906432</v>
      </c>
      <c r="AP35" s="12">
        <f>' Inputs'!$E$29*Subscriptions!AP13</f>
        <v>14415.912836535204</v>
      </c>
      <c r="AQ35" s="12">
        <f>' Inputs'!$E$29*Subscriptions!AQ13</f>
        <v>16145.822376919428</v>
      </c>
      <c r="AR35" s="12">
        <f>' Inputs'!$E$29*Subscriptions!AR13</f>
        <v>18083.32106214976</v>
      </c>
      <c r="AS35" s="12">
        <f>' Inputs'!$E$29*Subscriptions!AS13</f>
        <v>20253.319589607734</v>
      </c>
      <c r="AT35" s="12">
        <f>' Inputs'!$F$29*Subscriptions!AT13</f>
        <v>46582.635056097788</v>
      </c>
      <c r="AU35" s="12">
        <f>' Inputs'!$F$29*Subscriptions!AU13</f>
        <v>53570.030314512449</v>
      </c>
      <c r="AV35" s="12">
        <f>' Inputs'!$F$29*Subscriptions!AV13</f>
        <v>61605.534861689317</v>
      </c>
      <c r="AW35" s="12">
        <f>' Inputs'!$F$29*Subscriptions!AW13</f>
        <v>70846.365090942723</v>
      </c>
      <c r="AX35" s="12">
        <f>' Inputs'!$F$29*Subscriptions!AX13</f>
        <v>81473.31985458413</v>
      </c>
      <c r="AY35" s="12">
        <f>' Inputs'!$F$29*Subscriptions!AY13</f>
        <v>93694.317832771747</v>
      </c>
      <c r="AZ35" s="12">
        <f>' Inputs'!$F$29*Subscriptions!AZ13</f>
        <v>107748.46550768752</v>
      </c>
      <c r="BA35" s="12">
        <f>' Inputs'!$F$29*Subscriptions!BA13</f>
        <v>123910.73533384065</v>
      </c>
      <c r="BB35" s="12">
        <f>' Inputs'!$F$29*Subscriptions!BB13</f>
        <v>142497.34563391676</v>
      </c>
      <c r="BC35" s="12">
        <f>' Inputs'!$F$29*Subscriptions!BC13</f>
        <v>163871.94747900427</v>
      </c>
      <c r="BD35" s="12">
        <f>' Inputs'!$F$29*Subscriptions!BD13</f>
        <v>188452.73960085493</v>
      </c>
      <c r="BE35" s="12">
        <f>' Inputs'!$F$29*Subscriptions!BE13</f>
        <v>216720.65054098316</v>
      </c>
      <c r="BF35" s="12">
        <f>' Inputs'!$G$29*Subscriptions!BF13</f>
        <v>249228.74812213064</v>
      </c>
      <c r="BG35" s="12">
        <f>' Inputs'!$G$29*Subscriptions!BG13</f>
        <v>286613.06034045026</v>
      </c>
      <c r="BH35" s="12">
        <f>' Inputs'!$G$29*Subscriptions!BH13</f>
        <v>329605.0193915178</v>
      </c>
      <c r="BI35" s="12">
        <f>' Inputs'!$G$29*Subscriptions!BI13</f>
        <v>379045.77230024541</v>
      </c>
      <c r="BJ35" s="12">
        <f>' Inputs'!$G$29*Subscriptions!BJ13</f>
        <v>435902.63814528228</v>
      </c>
      <c r="BK35" s="12">
        <f>' Inputs'!$G$29*Subscriptions!BK13</f>
        <v>501288.03386707458</v>
      </c>
      <c r="BL35" s="12">
        <f>' Inputs'!$G$29*Subscriptions!BL13</f>
        <v>576481.23894713586</v>
      </c>
      <c r="BM35" s="12">
        <f>' Inputs'!$G$29*Subscriptions!BM13</f>
        <v>662953.42478920624</v>
      </c>
      <c r="BN35" s="12">
        <f>' Inputs'!$G$29*Subscriptions!BN13</f>
        <v>762396.43850758707</v>
      </c>
      <c r="BO35" s="12">
        <f>' Inputs'!$G$29*Subscriptions!BO13</f>
        <v>876755.90428372519</v>
      </c>
      <c r="BP35" s="12">
        <f>' Inputs'!$G$29*Subscriptions!BP13</f>
        <v>1008269.289926284</v>
      </c>
      <c r="BQ35" s="12">
        <f>' Inputs'!$G$29*Subscriptions!BQ13</f>
        <v>1159509.6834152266</v>
      </c>
      <c r="BR35" s="12">
        <f>' Inputs'!$H$29*Subscriptions!BR13</f>
        <v>1333436.1359275107</v>
      </c>
      <c r="BS35" s="12">
        <f>' Inputs'!$H$29*Subscriptions!BS13</f>
        <v>1533451.5563166372</v>
      </c>
      <c r="BT35" s="12">
        <f>' Inputs'!$H$29*Subscriptions!BT13</f>
        <v>1763469.2897641328</v>
      </c>
      <c r="BU35" s="12">
        <f>' Inputs'!$H$29*Subscriptions!BU13</f>
        <v>2027989.683228753</v>
      </c>
      <c r="BV35" s="12">
        <f>' Inputs'!$H$29*Subscriptions!BV13</f>
        <v>2332188.135713066</v>
      </c>
      <c r="BW35" s="12">
        <f>' Inputs'!$H$29*Subscriptions!BW13</f>
        <v>2682016.3560700263</v>
      </c>
      <c r="BX35" s="12">
        <f>' Inputs'!$H$29*Subscriptions!BX13</f>
        <v>3084318.8094805302</v>
      </c>
      <c r="BY35" s="12">
        <f>' Inputs'!$H$29*Subscriptions!BY13</f>
        <v>3546966.6309026098</v>
      </c>
      <c r="BZ35" s="12">
        <f>' Inputs'!$H$29*Subscriptions!BZ13</f>
        <v>4079011.6255380018</v>
      </c>
      <c r="CA35" s="12">
        <f>' Inputs'!$H$29*Subscriptions!CA13</f>
        <v>4690863.3693687022</v>
      </c>
      <c r="CB35" s="12">
        <f>' Inputs'!$H$29*Subscriptions!CB13</f>
        <v>5394492.8747740071</v>
      </c>
      <c r="CC35" s="12">
        <f>' Inputs'!$H$29*Subscriptions!CC13</f>
        <v>6203666.8059901083</v>
      </c>
      <c r="CD35" s="12">
        <f>' Inputs'!$I$29*Subscriptions!CD13</f>
        <v>7134216.8268886246</v>
      </c>
      <c r="CE35" s="12">
        <f>' Inputs'!$I$29*Subscriptions!CE13</f>
        <v>8204349.3509219186</v>
      </c>
      <c r="CF35" s="12">
        <f>' Inputs'!$I$29*Subscriptions!CF13</f>
        <v>9435001.7535602059</v>
      </c>
      <c r="CG35" s="12">
        <f>' Inputs'!$I$29*Subscriptions!CG13</f>
        <v>10850252.016594239</v>
      </c>
      <c r="CH35" s="12">
        <f>' Inputs'!$I$29*Subscriptions!CH13</f>
        <v>12477789.819083372</v>
      </c>
      <c r="CI35" s="12">
        <f>' Inputs'!$I$29*Subscriptions!CI13</f>
        <v>14349458.29194588</v>
      </c>
      <c r="CJ35" s="12">
        <f>' Inputs'!$I$29*Subscriptions!CJ13</f>
        <v>16501877.035737762</v>
      </c>
      <c r="CK35" s="12">
        <f>' Inputs'!$I$29*Subscriptions!CK13</f>
        <v>18977158.591098424</v>
      </c>
      <c r="CL35" s="12">
        <f>' Inputs'!$I$29*Subscriptions!CL13</f>
        <v>21823732.37976319</v>
      </c>
      <c r="CM35" s="12">
        <f>' Inputs'!$I$29*Subscriptions!CM13</f>
        <v>25097292.23672767</v>
      </c>
      <c r="CN35" s="12">
        <f>' Inputs'!$I$29*Subscriptions!CN13</f>
        <v>28861886.072236817</v>
      </c>
      <c r="CO35" s="12">
        <f>' Inputs'!$I$29*Subscriptions!CO13</f>
        <v>33191168.98307234</v>
      </c>
    </row>
    <row r="36" spans="1:93" x14ac:dyDescent="0.2">
      <c r="B36" s="52"/>
      <c r="C36" s="52"/>
      <c r="D36" s="52"/>
      <c r="E36" s="52"/>
      <c r="F36" s="16"/>
      <c r="G36" s="8"/>
      <c r="H36" s="8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</row>
    <row r="37" spans="1:93" s="15" customFormat="1" x14ac:dyDescent="0.2">
      <c r="A37" s="15" t="s">
        <v>131</v>
      </c>
      <c r="B37" s="16" t="e">
        <f>SUM(J37:U37)</f>
        <v>#REF!</v>
      </c>
      <c r="C37" s="16" t="e">
        <f t="shared" si="21"/>
        <v>#REF!</v>
      </c>
      <c r="D37" s="16" t="e">
        <f t="shared" si="19"/>
        <v>#REF!</v>
      </c>
      <c r="E37" s="16" t="e">
        <f t="shared" si="20"/>
        <v>#REF!</v>
      </c>
      <c r="F37" s="16" t="e">
        <f t="shared" si="22"/>
        <v>#REF!</v>
      </c>
      <c r="G37" s="8" t="e">
        <f t="shared" si="23"/>
        <v>#REF!</v>
      </c>
      <c r="H37" s="8" t="e">
        <f>SUM(CD37:CO37)</f>
        <v>#REF!</v>
      </c>
      <c r="I37" s="8"/>
      <c r="J37" s="8" t="e">
        <f>J28*' Inputs'!$C$33*' Inputs'!$C$34</f>
        <v>#REF!</v>
      </c>
      <c r="K37" s="8" t="e">
        <f>K28*' Inputs'!$C$33*' Inputs'!$C$34</f>
        <v>#REF!</v>
      </c>
      <c r="L37" s="8" t="e">
        <f>L28*' Inputs'!$C$33*' Inputs'!$C$34</f>
        <v>#REF!</v>
      </c>
      <c r="M37" s="8" t="e">
        <f>M28*' Inputs'!$C$33*' Inputs'!$C$34</f>
        <v>#REF!</v>
      </c>
      <c r="N37" s="8" t="e">
        <f>N28*' Inputs'!$C$33*' Inputs'!$C$34</f>
        <v>#REF!</v>
      </c>
      <c r="O37" s="8" t="e">
        <f>O28*' Inputs'!$C$33*' Inputs'!$C$34</f>
        <v>#REF!</v>
      </c>
      <c r="P37" s="8" t="e">
        <f>P28*' Inputs'!$C$33*' Inputs'!$C$34</f>
        <v>#REF!</v>
      </c>
      <c r="Q37" s="8" t="e">
        <f>Q28*' Inputs'!$C$33*' Inputs'!$C$34</f>
        <v>#REF!</v>
      </c>
      <c r="R37" s="8" t="e">
        <f>R28*' Inputs'!$C$33*' Inputs'!$C$34</f>
        <v>#REF!</v>
      </c>
      <c r="S37" s="8" t="e">
        <f>S28*' Inputs'!$C$33*' Inputs'!$C$34</f>
        <v>#REF!</v>
      </c>
      <c r="T37" s="8" t="e">
        <f>T28*' Inputs'!$C$33*' Inputs'!$C$34</f>
        <v>#REF!</v>
      </c>
      <c r="U37" s="8" t="e">
        <f>U28*' Inputs'!$C$33*' Inputs'!$C$34</f>
        <v>#REF!</v>
      </c>
      <c r="V37" s="8" t="e">
        <f>V28*' Inputs'!$D$33*' Inputs'!$D$34</f>
        <v>#REF!</v>
      </c>
      <c r="W37" s="8" t="e">
        <f>W28*' Inputs'!$D$33*' Inputs'!$D$34</f>
        <v>#REF!</v>
      </c>
      <c r="X37" s="8" t="e">
        <f>X28*' Inputs'!$D$33*' Inputs'!$D$34</f>
        <v>#REF!</v>
      </c>
      <c r="Y37" s="8" t="e">
        <f>Y28*' Inputs'!$D$33*' Inputs'!$D$34</f>
        <v>#REF!</v>
      </c>
      <c r="Z37" s="8" t="e">
        <f>Z28*' Inputs'!$D$33*' Inputs'!$D$34</f>
        <v>#REF!</v>
      </c>
      <c r="AA37" s="8" t="e">
        <f>AA28*' Inputs'!$D$33*' Inputs'!$D$34</f>
        <v>#REF!</v>
      </c>
      <c r="AB37" s="8" t="e">
        <f>AB28*' Inputs'!$D$33*' Inputs'!$D$34</f>
        <v>#REF!</v>
      </c>
      <c r="AC37" s="8" t="e">
        <f>AC28*' Inputs'!$D$33*' Inputs'!$D$34</f>
        <v>#REF!</v>
      </c>
      <c r="AD37" s="8" t="e">
        <f>AD28*' Inputs'!$D$33*' Inputs'!$D$34</f>
        <v>#REF!</v>
      </c>
      <c r="AE37" s="8" t="e">
        <f>AE28*' Inputs'!$D$33*' Inputs'!$D$34</f>
        <v>#REF!</v>
      </c>
      <c r="AF37" s="8" t="e">
        <f>AF28*' Inputs'!$D$33*' Inputs'!$D$34</f>
        <v>#REF!</v>
      </c>
      <c r="AG37" s="8" t="e">
        <f>AG28*' Inputs'!$D$33*' Inputs'!$D$34</f>
        <v>#REF!</v>
      </c>
      <c r="AH37" s="8" t="e">
        <f>AH28*' Inputs'!$E$33*' Inputs'!$E$34</f>
        <v>#REF!</v>
      </c>
      <c r="AI37" s="8" t="e">
        <f>AI28*' Inputs'!$E$33*' Inputs'!$E$34</f>
        <v>#REF!</v>
      </c>
      <c r="AJ37" s="8" t="e">
        <f>AJ28*' Inputs'!$E$33*' Inputs'!$E$34</f>
        <v>#REF!</v>
      </c>
      <c r="AK37" s="8" t="e">
        <f>AK28*' Inputs'!$E$33*' Inputs'!$E$34</f>
        <v>#REF!</v>
      </c>
      <c r="AL37" s="8" t="e">
        <f>AL28*' Inputs'!$E$33*' Inputs'!$E$34</f>
        <v>#REF!</v>
      </c>
      <c r="AM37" s="8" t="e">
        <f>AM28*' Inputs'!$E$33*' Inputs'!$E$34</f>
        <v>#REF!</v>
      </c>
      <c r="AN37" s="8" t="e">
        <f>AN28*' Inputs'!$E$33*' Inputs'!$E$34</f>
        <v>#REF!</v>
      </c>
      <c r="AO37" s="8" t="e">
        <f>AO28*' Inputs'!$E$33*' Inputs'!$E$34</f>
        <v>#REF!</v>
      </c>
      <c r="AP37" s="8" t="e">
        <f>AP28*' Inputs'!$E$33*' Inputs'!$E$34</f>
        <v>#REF!</v>
      </c>
      <c r="AQ37" s="8" t="e">
        <f>AQ28*' Inputs'!$E$33*' Inputs'!$E$34</f>
        <v>#REF!</v>
      </c>
      <c r="AR37" s="8" t="e">
        <f>AR28*' Inputs'!$E$33*' Inputs'!$E$34</f>
        <v>#REF!</v>
      </c>
      <c r="AS37" s="8" t="e">
        <f>AS28*' Inputs'!$E$33*' Inputs'!$E$34</f>
        <v>#REF!</v>
      </c>
      <c r="AT37" s="8" t="e">
        <f>AT28*' Inputs'!$F$33*' Inputs'!$F$34</f>
        <v>#REF!</v>
      </c>
      <c r="AU37" s="8" t="e">
        <f>AU28*' Inputs'!$F$33*' Inputs'!$F$34</f>
        <v>#REF!</v>
      </c>
      <c r="AV37" s="8" t="e">
        <f>AV28*' Inputs'!$F$33*' Inputs'!$F$34</f>
        <v>#REF!</v>
      </c>
      <c r="AW37" s="8" t="e">
        <f>AW28*' Inputs'!$F$33*' Inputs'!$F$34</f>
        <v>#REF!</v>
      </c>
      <c r="AX37" s="8" t="e">
        <f>AX28*' Inputs'!$F$33*' Inputs'!$F$34</f>
        <v>#REF!</v>
      </c>
      <c r="AY37" s="8" t="e">
        <f>AY28*' Inputs'!$F$33*' Inputs'!$F$34</f>
        <v>#REF!</v>
      </c>
      <c r="AZ37" s="8" t="e">
        <f>AZ28*' Inputs'!$F$33*' Inputs'!$F$34</f>
        <v>#REF!</v>
      </c>
      <c r="BA37" s="8" t="e">
        <f>BA28*' Inputs'!$F$33*' Inputs'!$F$34</f>
        <v>#REF!</v>
      </c>
      <c r="BB37" s="8" t="e">
        <f>BB28*' Inputs'!$F$33*' Inputs'!$F$34</f>
        <v>#REF!</v>
      </c>
      <c r="BC37" s="8" t="e">
        <f>BC28*' Inputs'!$F$33*' Inputs'!$F$34</f>
        <v>#REF!</v>
      </c>
      <c r="BD37" s="8" t="e">
        <f>BD28*' Inputs'!$F$33*' Inputs'!$F$34</f>
        <v>#REF!</v>
      </c>
      <c r="BE37" s="8" t="e">
        <f>BE28*' Inputs'!$F$33*' Inputs'!$F$34</f>
        <v>#REF!</v>
      </c>
      <c r="BF37" s="8" t="e">
        <f>BF28*' Inputs'!$G$33*' Inputs'!$G$34</f>
        <v>#REF!</v>
      </c>
      <c r="BG37" s="8" t="e">
        <f>BG28*' Inputs'!$G$33*' Inputs'!$G$34</f>
        <v>#REF!</v>
      </c>
      <c r="BH37" s="8" t="e">
        <f>BH28*' Inputs'!$G$33*' Inputs'!$G$34</f>
        <v>#REF!</v>
      </c>
      <c r="BI37" s="8" t="e">
        <f>BI28*' Inputs'!$G$33*' Inputs'!$G$34</f>
        <v>#REF!</v>
      </c>
      <c r="BJ37" s="8" t="e">
        <f>BJ28*' Inputs'!$G$33*' Inputs'!$G$34</f>
        <v>#REF!</v>
      </c>
      <c r="BK37" s="8" t="e">
        <f>BK28*' Inputs'!$G$33*' Inputs'!$G$34</f>
        <v>#REF!</v>
      </c>
      <c r="BL37" s="8" t="e">
        <f>BL28*' Inputs'!$G$33*' Inputs'!$G$34</f>
        <v>#REF!</v>
      </c>
      <c r="BM37" s="8" t="e">
        <f>BM28*' Inputs'!$G$33*' Inputs'!$G$34</f>
        <v>#REF!</v>
      </c>
      <c r="BN37" s="8" t="e">
        <f>BN28*' Inputs'!$G$33*' Inputs'!$G$34</f>
        <v>#REF!</v>
      </c>
      <c r="BO37" s="8" t="e">
        <f>BO28*' Inputs'!$G$33*' Inputs'!$G$34</f>
        <v>#REF!</v>
      </c>
      <c r="BP37" s="8" t="e">
        <f>BP28*' Inputs'!$G$33*' Inputs'!$G$34</f>
        <v>#REF!</v>
      </c>
      <c r="BQ37" s="8" t="e">
        <f>BQ28*' Inputs'!$G$33*' Inputs'!$G$34</f>
        <v>#REF!</v>
      </c>
      <c r="BR37" s="8" t="e">
        <f>BR28*' Inputs'!$H$33*' Inputs'!$H$34</f>
        <v>#REF!</v>
      </c>
      <c r="BS37" s="8" t="e">
        <f>BS28*' Inputs'!$H$33*' Inputs'!$H$34</f>
        <v>#REF!</v>
      </c>
      <c r="BT37" s="8" t="e">
        <f>BT28*' Inputs'!$H$33*' Inputs'!$H$34</f>
        <v>#REF!</v>
      </c>
      <c r="BU37" s="8" t="e">
        <f>BU28*' Inputs'!$H$33*' Inputs'!$H$34</f>
        <v>#REF!</v>
      </c>
      <c r="BV37" s="8" t="e">
        <f>BV28*' Inputs'!$H$33*' Inputs'!$H$34</f>
        <v>#REF!</v>
      </c>
      <c r="BW37" s="8" t="e">
        <f>BW28*' Inputs'!$H$33*' Inputs'!$H$34</f>
        <v>#REF!</v>
      </c>
      <c r="BX37" s="8" t="e">
        <f>BX28*' Inputs'!$H$33*' Inputs'!$H$34</f>
        <v>#REF!</v>
      </c>
      <c r="BY37" s="8" t="e">
        <f>BY28*' Inputs'!$H$33*' Inputs'!$H$34</f>
        <v>#REF!</v>
      </c>
      <c r="BZ37" s="8" t="e">
        <f>BZ28*' Inputs'!$H$33*' Inputs'!$H$34</f>
        <v>#REF!</v>
      </c>
      <c r="CA37" s="8" t="e">
        <f>CA28*' Inputs'!$H$33*' Inputs'!$H$34</f>
        <v>#REF!</v>
      </c>
      <c r="CB37" s="8" t="e">
        <f>CB28*' Inputs'!$H$33*' Inputs'!$H$34</f>
        <v>#REF!</v>
      </c>
      <c r="CC37" s="8" t="e">
        <f>CC28*' Inputs'!$H$33*' Inputs'!$H$34</f>
        <v>#REF!</v>
      </c>
      <c r="CD37" s="8" t="e">
        <f>CD28*' Inputs'!$H$33*' Inputs'!$H$34</f>
        <v>#REF!</v>
      </c>
      <c r="CE37" s="8" t="e">
        <f>CE28*' Inputs'!$H$33*' Inputs'!$H$34</f>
        <v>#REF!</v>
      </c>
      <c r="CF37" s="8" t="e">
        <f>CF28*' Inputs'!$H$33*' Inputs'!$H$34</f>
        <v>#REF!</v>
      </c>
      <c r="CG37" s="8" t="e">
        <f>CG28*' Inputs'!$H$33*' Inputs'!$H$34</f>
        <v>#REF!</v>
      </c>
      <c r="CH37" s="8" t="e">
        <f>CH28*' Inputs'!$H$33*' Inputs'!$H$34</f>
        <v>#REF!</v>
      </c>
      <c r="CI37" s="8" t="e">
        <f>CI28*' Inputs'!$H$33*' Inputs'!$H$34</f>
        <v>#REF!</v>
      </c>
      <c r="CJ37" s="8" t="e">
        <f>CJ28*' Inputs'!$H$33*' Inputs'!$H$34</f>
        <v>#REF!</v>
      </c>
      <c r="CK37" s="8" t="e">
        <f>CK28*' Inputs'!$H$33*' Inputs'!$H$34</f>
        <v>#REF!</v>
      </c>
      <c r="CL37" s="8" t="e">
        <f>CL28*' Inputs'!$H$33*' Inputs'!$H$34</f>
        <v>#REF!</v>
      </c>
      <c r="CM37" s="8" t="e">
        <f>CM28*' Inputs'!$H$33*' Inputs'!$H$34</f>
        <v>#REF!</v>
      </c>
      <c r="CN37" s="8" t="e">
        <f>CN28*' Inputs'!$H$33*' Inputs'!$H$34</f>
        <v>#REF!</v>
      </c>
      <c r="CO37" s="8" t="e">
        <f>CO28*' Inputs'!$H$33*' Inputs'!$H$34</f>
        <v>#REF!</v>
      </c>
    </row>
    <row r="38" spans="1:93" x14ac:dyDescent="0.2">
      <c r="B38" s="14"/>
      <c r="C38" s="14"/>
      <c r="D38" s="14"/>
      <c r="E38" s="5"/>
      <c r="F38" s="5"/>
      <c r="G38" s="5"/>
      <c r="H38" s="5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</row>
    <row r="39" spans="1:93" x14ac:dyDescent="0.2">
      <c r="A39" s="15" t="s">
        <v>220</v>
      </c>
      <c r="B39" s="16">
        <f>' Inputs'!C38*' Inputs'!C39*Subscriptions!B23</f>
        <v>0</v>
      </c>
      <c r="C39" s="16">
        <f>' Inputs'!D38*' Inputs'!D39*Subscriptions!C23</f>
        <v>0</v>
      </c>
      <c r="D39" s="16">
        <f>' Inputs'!E38*' Inputs'!E39*Subscriptions!D23</f>
        <v>0</v>
      </c>
      <c r="E39" s="16">
        <f>' Inputs'!F38*' Inputs'!F39*Subscriptions!E23</f>
        <v>0</v>
      </c>
      <c r="F39" s="16">
        <f>' Inputs'!G38*' Inputs'!G39*Subscriptions!F23</f>
        <v>0</v>
      </c>
      <c r="G39" s="16">
        <f>' Inputs'!H38*' Inputs'!H39*Subscriptions!G23</f>
        <v>0</v>
      </c>
      <c r="H39" s="16">
        <f>' Inputs'!I38*' Inputs'!I39*Subscriptions!H23</f>
        <v>0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</row>
    <row r="40" spans="1:93" x14ac:dyDescent="0.2">
      <c r="B40" s="14"/>
      <c r="C40" s="14"/>
      <c r="D40" s="14"/>
      <c r="E40" s="5"/>
      <c r="F40" s="5"/>
      <c r="G40" s="5"/>
      <c r="H40" s="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</row>
    <row r="41" spans="1:93" s="15" customFormat="1" x14ac:dyDescent="0.2">
      <c r="A41" s="15" t="s">
        <v>18</v>
      </c>
      <c r="B41" s="16" t="e">
        <f>B32+B35+B37+B39+#REF!</f>
        <v>#REF!</v>
      </c>
      <c r="C41" s="16" t="e">
        <f>C32+C35+C37+C39+#REF!</f>
        <v>#REF!</v>
      </c>
      <c r="D41" s="16" t="e">
        <f>D32+D35+D37+D39+#REF!</f>
        <v>#REF!</v>
      </c>
      <c r="E41" s="16" t="e">
        <f>E32+E35+E37+E39+#REF!</f>
        <v>#REF!</v>
      </c>
      <c r="F41" s="16" t="e">
        <f>F32+F35+F37+F39+#REF!</f>
        <v>#REF!</v>
      </c>
      <c r="G41" s="16" t="e">
        <f>G32+G35+G37+G39+#REF!</f>
        <v>#REF!</v>
      </c>
      <c r="H41" s="16" t="e">
        <f>H32+H35+H37+H39+#REF!</f>
        <v>#REF!</v>
      </c>
      <c r="I41" s="8"/>
      <c r="J41" s="8" t="e">
        <f t="shared" ref="J41:AO41" si="34">SUM(J32:J38)</f>
        <v>#REF!</v>
      </c>
      <c r="K41" s="8" t="e">
        <f t="shared" si="34"/>
        <v>#REF!</v>
      </c>
      <c r="L41" s="8" t="e">
        <f t="shared" si="34"/>
        <v>#REF!</v>
      </c>
      <c r="M41" s="8" t="e">
        <f t="shared" si="34"/>
        <v>#REF!</v>
      </c>
      <c r="N41" s="8" t="e">
        <f t="shared" si="34"/>
        <v>#REF!</v>
      </c>
      <c r="O41" s="8" t="e">
        <f t="shared" si="34"/>
        <v>#REF!</v>
      </c>
      <c r="P41" s="8" t="e">
        <f t="shared" si="34"/>
        <v>#REF!</v>
      </c>
      <c r="Q41" s="8" t="e">
        <f t="shared" si="34"/>
        <v>#REF!</v>
      </c>
      <c r="R41" s="8" t="e">
        <f t="shared" si="34"/>
        <v>#REF!</v>
      </c>
      <c r="S41" s="8" t="e">
        <f t="shared" si="34"/>
        <v>#REF!</v>
      </c>
      <c r="T41" s="8" t="e">
        <f t="shared" si="34"/>
        <v>#REF!</v>
      </c>
      <c r="U41" s="8" t="e">
        <f t="shared" si="34"/>
        <v>#REF!</v>
      </c>
      <c r="V41" s="8" t="e">
        <f t="shared" si="34"/>
        <v>#REF!</v>
      </c>
      <c r="W41" s="8" t="e">
        <f t="shared" si="34"/>
        <v>#REF!</v>
      </c>
      <c r="X41" s="8" t="e">
        <f t="shared" si="34"/>
        <v>#REF!</v>
      </c>
      <c r="Y41" s="8" t="e">
        <f t="shared" si="34"/>
        <v>#REF!</v>
      </c>
      <c r="Z41" s="8" t="e">
        <f t="shared" si="34"/>
        <v>#REF!</v>
      </c>
      <c r="AA41" s="8" t="e">
        <f t="shared" si="34"/>
        <v>#REF!</v>
      </c>
      <c r="AB41" s="8" t="e">
        <f t="shared" si="34"/>
        <v>#REF!</v>
      </c>
      <c r="AC41" s="8" t="e">
        <f t="shared" si="34"/>
        <v>#REF!</v>
      </c>
      <c r="AD41" s="8" t="e">
        <f t="shared" si="34"/>
        <v>#REF!</v>
      </c>
      <c r="AE41" s="8" t="e">
        <f t="shared" si="34"/>
        <v>#REF!</v>
      </c>
      <c r="AF41" s="8" t="e">
        <f t="shared" si="34"/>
        <v>#REF!</v>
      </c>
      <c r="AG41" s="8" t="e">
        <f t="shared" si="34"/>
        <v>#REF!</v>
      </c>
      <c r="AH41" s="8" t="e">
        <f t="shared" si="34"/>
        <v>#REF!</v>
      </c>
      <c r="AI41" s="8" t="e">
        <f t="shared" si="34"/>
        <v>#REF!</v>
      </c>
      <c r="AJ41" s="8" t="e">
        <f t="shared" si="34"/>
        <v>#REF!</v>
      </c>
      <c r="AK41" s="8" t="e">
        <f t="shared" si="34"/>
        <v>#REF!</v>
      </c>
      <c r="AL41" s="8" t="e">
        <f t="shared" si="34"/>
        <v>#REF!</v>
      </c>
      <c r="AM41" s="8" t="e">
        <f t="shared" si="34"/>
        <v>#REF!</v>
      </c>
      <c r="AN41" s="8" t="e">
        <f t="shared" si="34"/>
        <v>#REF!</v>
      </c>
      <c r="AO41" s="8" t="e">
        <f t="shared" si="34"/>
        <v>#REF!</v>
      </c>
      <c r="AP41" s="8" t="e">
        <f t="shared" ref="AP41:BU41" si="35">SUM(AP32:AP38)</f>
        <v>#REF!</v>
      </c>
      <c r="AQ41" s="8" t="e">
        <f t="shared" si="35"/>
        <v>#REF!</v>
      </c>
      <c r="AR41" s="8" t="e">
        <f t="shared" si="35"/>
        <v>#REF!</v>
      </c>
      <c r="AS41" s="8" t="e">
        <f t="shared" si="35"/>
        <v>#REF!</v>
      </c>
      <c r="AT41" s="8" t="e">
        <f t="shared" si="35"/>
        <v>#REF!</v>
      </c>
      <c r="AU41" s="8" t="e">
        <f t="shared" si="35"/>
        <v>#REF!</v>
      </c>
      <c r="AV41" s="8" t="e">
        <f t="shared" si="35"/>
        <v>#REF!</v>
      </c>
      <c r="AW41" s="8" t="e">
        <f t="shared" si="35"/>
        <v>#REF!</v>
      </c>
      <c r="AX41" s="8" t="e">
        <f t="shared" si="35"/>
        <v>#REF!</v>
      </c>
      <c r="AY41" s="8" t="e">
        <f t="shared" si="35"/>
        <v>#REF!</v>
      </c>
      <c r="AZ41" s="8" t="e">
        <f t="shared" si="35"/>
        <v>#REF!</v>
      </c>
      <c r="BA41" s="8" t="e">
        <f t="shared" si="35"/>
        <v>#REF!</v>
      </c>
      <c r="BB41" s="8" t="e">
        <f t="shared" si="35"/>
        <v>#REF!</v>
      </c>
      <c r="BC41" s="8" t="e">
        <f t="shared" si="35"/>
        <v>#REF!</v>
      </c>
      <c r="BD41" s="8" t="e">
        <f t="shared" si="35"/>
        <v>#REF!</v>
      </c>
      <c r="BE41" s="8" t="e">
        <f t="shared" si="35"/>
        <v>#REF!</v>
      </c>
      <c r="BF41" s="8" t="e">
        <f t="shared" si="35"/>
        <v>#REF!</v>
      </c>
      <c r="BG41" s="8" t="e">
        <f t="shared" si="35"/>
        <v>#REF!</v>
      </c>
      <c r="BH41" s="8" t="e">
        <f t="shared" si="35"/>
        <v>#REF!</v>
      </c>
      <c r="BI41" s="8" t="e">
        <f t="shared" si="35"/>
        <v>#REF!</v>
      </c>
      <c r="BJ41" s="8" t="e">
        <f t="shared" si="35"/>
        <v>#REF!</v>
      </c>
      <c r="BK41" s="8" t="e">
        <f t="shared" si="35"/>
        <v>#REF!</v>
      </c>
      <c r="BL41" s="8" t="e">
        <f t="shared" si="35"/>
        <v>#REF!</v>
      </c>
      <c r="BM41" s="8" t="e">
        <f t="shared" si="35"/>
        <v>#REF!</v>
      </c>
      <c r="BN41" s="8" t="e">
        <f t="shared" si="35"/>
        <v>#REF!</v>
      </c>
      <c r="BO41" s="8" t="e">
        <f t="shared" si="35"/>
        <v>#REF!</v>
      </c>
      <c r="BP41" s="8" t="e">
        <f t="shared" si="35"/>
        <v>#REF!</v>
      </c>
      <c r="BQ41" s="8" t="e">
        <f t="shared" si="35"/>
        <v>#REF!</v>
      </c>
      <c r="BR41" s="8" t="e">
        <f t="shared" si="35"/>
        <v>#REF!</v>
      </c>
      <c r="BS41" s="8" t="e">
        <f t="shared" si="35"/>
        <v>#REF!</v>
      </c>
      <c r="BT41" s="8" t="e">
        <f t="shared" si="35"/>
        <v>#REF!</v>
      </c>
      <c r="BU41" s="8" t="e">
        <f t="shared" si="35"/>
        <v>#REF!</v>
      </c>
      <c r="BV41" s="8" t="e">
        <f t="shared" ref="BV41:CO41" si="36">SUM(BV32:BV38)</f>
        <v>#REF!</v>
      </c>
      <c r="BW41" s="8" t="e">
        <f t="shared" si="36"/>
        <v>#REF!</v>
      </c>
      <c r="BX41" s="8" t="e">
        <f t="shared" si="36"/>
        <v>#REF!</v>
      </c>
      <c r="BY41" s="8" t="e">
        <f t="shared" si="36"/>
        <v>#REF!</v>
      </c>
      <c r="BZ41" s="8" t="e">
        <f t="shared" si="36"/>
        <v>#REF!</v>
      </c>
      <c r="CA41" s="8" t="e">
        <f t="shared" si="36"/>
        <v>#REF!</v>
      </c>
      <c r="CB41" s="8" t="e">
        <f t="shared" si="36"/>
        <v>#REF!</v>
      </c>
      <c r="CC41" s="8" t="e">
        <f t="shared" si="36"/>
        <v>#REF!</v>
      </c>
      <c r="CD41" s="8" t="e">
        <f t="shared" si="36"/>
        <v>#REF!</v>
      </c>
      <c r="CE41" s="8" t="e">
        <f t="shared" si="36"/>
        <v>#REF!</v>
      </c>
      <c r="CF41" s="8" t="e">
        <f t="shared" si="36"/>
        <v>#REF!</v>
      </c>
      <c r="CG41" s="8" t="e">
        <f t="shared" si="36"/>
        <v>#REF!</v>
      </c>
      <c r="CH41" s="8" t="e">
        <f t="shared" si="36"/>
        <v>#REF!</v>
      </c>
      <c r="CI41" s="8" t="e">
        <f t="shared" si="36"/>
        <v>#REF!</v>
      </c>
      <c r="CJ41" s="8" t="e">
        <f t="shared" si="36"/>
        <v>#REF!</v>
      </c>
      <c r="CK41" s="8" t="e">
        <f t="shared" si="36"/>
        <v>#REF!</v>
      </c>
      <c r="CL41" s="8" t="e">
        <f t="shared" si="36"/>
        <v>#REF!</v>
      </c>
      <c r="CM41" s="8" t="e">
        <f t="shared" si="36"/>
        <v>#REF!</v>
      </c>
      <c r="CN41" s="8" t="e">
        <f t="shared" si="36"/>
        <v>#REF!</v>
      </c>
      <c r="CO41" s="8" t="e">
        <f t="shared" si="36"/>
        <v>#REF!</v>
      </c>
    </row>
    <row r="42" spans="1:93" x14ac:dyDescent="0.2">
      <c r="B42" s="14"/>
      <c r="C42" s="14"/>
      <c r="D42" s="14"/>
      <c r="E42" s="5"/>
      <c r="F42" s="5"/>
      <c r="G42" s="5"/>
      <c r="H42" s="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</row>
    <row r="43" spans="1:93" x14ac:dyDescent="0.2">
      <c r="A43" t="s">
        <v>20</v>
      </c>
      <c r="B43" s="5" t="e">
        <f t="shared" ref="B43:H43" si="37">B29/B13</f>
        <v>#REF!</v>
      </c>
      <c r="C43" s="5" t="e">
        <f t="shared" si="37"/>
        <v>#REF!</v>
      </c>
      <c r="D43" s="5" t="e">
        <f t="shared" si="37"/>
        <v>#REF!</v>
      </c>
      <c r="E43" s="5" t="e">
        <f t="shared" si="37"/>
        <v>#REF!</v>
      </c>
      <c r="F43" s="5" t="e">
        <f t="shared" si="37"/>
        <v>#REF!</v>
      </c>
      <c r="G43" s="5" t="e">
        <f t="shared" si="37"/>
        <v>#REF!</v>
      </c>
      <c r="H43" s="5" t="e">
        <f t="shared" si="37"/>
        <v>#REF!</v>
      </c>
      <c r="I43" s="5"/>
      <c r="J43" s="3" t="e">
        <f t="shared" ref="J43:AO43" si="38">J29/J13</f>
        <v>#REF!</v>
      </c>
      <c r="K43" s="5" t="e">
        <f t="shared" si="38"/>
        <v>#REF!</v>
      </c>
      <c r="L43" s="5" t="e">
        <f t="shared" si="38"/>
        <v>#REF!</v>
      </c>
      <c r="M43" s="5" t="e">
        <f t="shared" si="38"/>
        <v>#REF!</v>
      </c>
      <c r="N43" s="5" t="e">
        <f t="shared" si="38"/>
        <v>#REF!</v>
      </c>
      <c r="O43" s="5" t="e">
        <f t="shared" si="38"/>
        <v>#REF!</v>
      </c>
      <c r="P43" s="5" t="e">
        <f t="shared" si="38"/>
        <v>#REF!</v>
      </c>
      <c r="Q43" s="5" t="e">
        <f t="shared" si="38"/>
        <v>#REF!</v>
      </c>
      <c r="R43" s="5" t="e">
        <f t="shared" si="38"/>
        <v>#REF!</v>
      </c>
      <c r="S43" s="5" t="e">
        <f t="shared" si="38"/>
        <v>#REF!</v>
      </c>
      <c r="T43" s="5" t="e">
        <f t="shared" si="38"/>
        <v>#REF!</v>
      </c>
      <c r="U43" s="5" t="e">
        <f t="shared" si="38"/>
        <v>#REF!</v>
      </c>
      <c r="V43" s="5" t="e">
        <f t="shared" si="38"/>
        <v>#REF!</v>
      </c>
      <c r="W43" s="5" t="e">
        <f t="shared" si="38"/>
        <v>#REF!</v>
      </c>
      <c r="X43" s="5" t="e">
        <f t="shared" si="38"/>
        <v>#REF!</v>
      </c>
      <c r="Y43" s="5" t="e">
        <f t="shared" si="38"/>
        <v>#REF!</v>
      </c>
      <c r="Z43" s="5" t="e">
        <f t="shared" si="38"/>
        <v>#REF!</v>
      </c>
      <c r="AA43" s="5" t="e">
        <f t="shared" si="38"/>
        <v>#REF!</v>
      </c>
      <c r="AB43" s="5" t="e">
        <f t="shared" si="38"/>
        <v>#REF!</v>
      </c>
      <c r="AC43" s="5" t="e">
        <f t="shared" si="38"/>
        <v>#REF!</v>
      </c>
      <c r="AD43" s="5" t="e">
        <f t="shared" si="38"/>
        <v>#REF!</v>
      </c>
      <c r="AE43" s="5" t="e">
        <f t="shared" si="38"/>
        <v>#REF!</v>
      </c>
      <c r="AF43" s="5" t="e">
        <f t="shared" si="38"/>
        <v>#REF!</v>
      </c>
      <c r="AG43" s="5" t="e">
        <f t="shared" si="38"/>
        <v>#REF!</v>
      </c>
      <c r="AH43" s="5" t="e">
        <f t="shared" si="38"/>
        <v>#REF!</v>
      </c>
      <c r="AI43" s="5" t="e">
        <f t="shared" si="38"/>
        <v>#REF!</v>
      </c>
      <c r="AJ43" s="5" t="e">
        <f t="shared" si="38"/>
        <v>#REF!</v>
      </c>
      <c r="AK43" s="5" t="e">
        <f t="shared" si="38"/>
        <v>#REF!</v>
      </c>
      <c r="AL43" s="5" t="e">
        <f t="shared" si="38"/>
        <v>#REF!</v>
      </c>
      <c r="AM43" s="5" t="e">
        <f t="shared" si="38"/>
        <v>#REF!</v>
      </c>
      <c r="AN43" s="5" t="e">
        <f t="shared" si="38"/>
        <v>#REF!</v>
      </c>
      <c r="AO43" s="5" t="e">
        <f t="shared" si="38"/>
        <v>#REF!</v>
      </c>
      <c r="AP43" s="5" t="e">
        <f t="shared" ref="AP43:BU43" si="39">AP29/AP13</f>
        <v>#REF!</v>
      </c>
      <c r="AQ43" s="5" t="e">
        <f t="shared" si="39"/>
        <v>#REF!</v>
      </c>
      <c r="AR43" s="5" t="e">
        <f t="shared" si="39"/>
        <v>#REF!</v>
      </c>
      <c r="AS43" s="5" t="e">
        <f t="shared" si="39"/>
        <v>#REF!</v>
      </c>
      <c r="AT43" s="5" t="e">
        <f t="shared" si="39"/>
        <v>#REF!</v>
      </c>
      <c r="AU43" s="5" t="e">
        <f t="shared" si="39"/>
        <v>#REF!</v>
      </c>
      <c r="AV43" s="5" t="e">
        <f t="shared" si="39"/>
        <v>#REF!</v>
      </c>
      <c r="AW43" s="5" t="e">
        <f t="shared" si="39"/>
        <v>#REF!</v>
      </c>
      <c r="AX43" s="5" t="e">
        <f t="shared" si="39"/>
        <v>#REF!</v>
      </c>
      <c r="AY43" s="5" t="e">
        <f t="shared" si="39"/>
        <v>#REF!</v>
      </c>
      <c r="AZ43" s="5" t="e">
        <f t="shared" si="39"/>
        <v>#REF!</v>
      </c>
      <c r="BA43" s="5" t="e">
        <f t="shared" si="39"/>
        <v>#REF!</v>
      </c>
      <c r="BB43" s="5" t="e">
        <f t="shared" si="39"/>
        <v>#REF!</v>
      </c>
      <c r="BC43" s="5" t="e">
        <f t="shared" si="39"/>
        <v>#REF!</v>
      </c>
      <c r="BD43" s="5" t="e">
        <f t="shared" si="39"/>
        <v>#REF!</v>
      </c>
      <c r="BE43" s="5" t="e">
        <f t="shared" si="39"/>
        <v>#REF!</v>
      </c>
      <c r="BF43" s="5" t="e">
        <f t="shared" si="39"/>
        <v>#REF!</v>
      </c>
      <c r="BG43" s="5" t="e">
        <f t="shared" si="39"/>
        <v>#REF!</v>
      </c>
      <c r="BH43" s="5" t="e">
        <f t="shared" si="39"/>
        <v>#REF!</v>
      </c>
      <c r="BI43" s="5" t="e">
        <f t="shared" si="39"/>
        <v>#REF!</v>
      </c>
      <c r="BJ43" s="5" t="e">
        <f t="shared" si="39"/>
        <v>#REF!</v>
      </c>
      <c r="BK43" s="5" t="e">
        <f t="shared" si="39"/>
        <v>#REF!</v>
      </c>
      <c r="BL43" s="5" t="e">
        <f t="shared" si="39"/>
        <v>#REF!</v>
      </c>
      <c r="BM43" s="5" t="e">
        <f t="shared" si="39"/>
        <v>#REF!</v>
      </c>
      <c r="BN43" s="5" t="e">
        <f t="shared" si="39"/>
        <v>#REF!</v>
      </c>
      <c r="BO43" s="5" t="e">
        <f t="shared" si="39"/>
        <v>#REF!</v>
      </c>
      <c r="BP43" s="5" t="e">
        <f t="shared" si="39"/>
        <v>#REF!</v>
      </c>
      <c r="BQ43" s="5" t="e">
        <f t="shared" si="39"/>
        <v>#REF!</v>
      </c>
      <c r="BR43" s="5" t="e">
        <f t="shared" si="39"/>
        <v>#REF!</v>
      </c>
      <c r="BS43" s="5" t="e">
        <f t="shared" si="39"/>
        <v>#REF!</v>
      </c>
      <c r="BT43" s="5" t="e">
        <f t="shared" si="39"/>
        <v>#REF!</v>
      </c>
      <c r="BU43" s="5" t="e">
        <f t="shared" si="39"/>
        <v>#REF!</v>
      </c>
      <c r="BV43" s="5" t="e">
        <f t="shared" ref="BV43:CO43" si="40">BV29/BV13</f>
        <v>#REF!</v>
      </c>
      <c r="BW43" s="5" t="e">
        <f t="shared" si="40"/>
        <v>#REF!</v>
      </c>
      <c r="BX43" s="5" t="e">
        <f t="shared" si="40"/>
        <v>#REF!</v>
      </c>
      <c r="BY43" s="5" t="e">
        <f t="shared" si="40"/>
        <v>#REF!</v>
      </c>
      <c r="BZ43" s="5" t="e">
        <f t="shared" si="40"/>
        <v>#REF!</v>
      </c>
      <c r="CA43" s="5" t="e">
        <f t="shared" si="40"/>
        <v>#REF!</v>
      </c>
      <c r="CB43" s="5" t="e">
        <f t="shared" si="40"/>
        <v>#REF!</v>
      </c>
      <c r="CC43" s="5" t="e">
        <f t="shared" si="40"/>
        <v>#REF!</v>
      </c>
      <c r="CD43" s="5" t="e">
        <f t="shared" si="40"/>
        <v>#REF!</v>
      </c>
      <c r="CE43" s="5" t="e">
        <f t="shared" si="40"/>
        <v>#REF!</v>
      </c>
      <c r="CF43" s="5" t="e">
        <f t="shared" si="40"/>
        <v>#REF!</v>
      </c>
      <c r="CG43" s="5" t="e">
        <f t="shared" si="40"/>
        <v>#REF!</v>
      </c>
      <c r="CH43" s="5" t="e">
        <f t="shared" si="40"/>
        <v>#REF!</v>
      </c>
      <c r="CI43" s="5" t="e">
        <f t="shared" si="40"/>
        <v>#REF!</v>
      </c>
      <c r="CJ43" s="5" t="e">
        <f t="shared" si="40"/>
        <v>#REF!</v>
      </c>
      <c r="CK43" s="5" t="e">
        <f t="shared" si="40"/>
        <v>#REF!</v>
      </c>
      <c r="CL43" s="5" t="e">
        <f t="shared" si="40"/>
        <v>#REF!</v>
      </c>
      <c r="CM43" s="5" t="e">
        <f t="shared" si="40"/>
        <v>#REF!</v>
      </c>
      <c r="CN43" s="5" t="e">
        <f t="shared" si="40"/>
        <v>#REF!</v>
      </c>
      <c r="CO43" s="5" t="e">
        <f t="shared" si="40"/>
        <v>#REF!</v>
      </c>
    </row>
    <row r="44" spans="1:93" x14ac:dyDescent="0.2">
      <c r="A44" t="s">
        <v>22</v>
      </c>
      <c r="B44" s="5" t="e">
        <f t="shared" ref="B44:H44" si="41">B41/B13</f>
        <v>#REF!</v>
      </c>
      <c r="C44" s="5" t="e">
        <f t="shared" si="41"/>
        <v>#REF!</v>
      </c>
      <c r="D44" s="5" t="e">
        <f t="shared" si="41"/>
        <v>#REF!</v>
      </c>
      <c r="E44" s="5" t="e">
        <f t="shared" si="41"/>
        <v>#REF!</v>
      </c>
      <c r="F44" s="5" t="e">
        <f t="shared" si="41"/>
        <v>#REF!</v>
      </c>
      <c r="G44" s="5" t="e">
        <f t="shared" si="41"/>
        <v>#REF!</v>
      </c>
      <c r="H44" s="5" t="e">
        <f t="shared" si="41"/>
        <v>#REF!</v>
      </c>
      <c r="J44" s="12" t="e">
        <f t="shared" ref="J44:AO44" si="42">J41/J13</f>
        <v>#REF!</v>
      </c>
      <c r="K44" s="12" t="e">
        <f t="shared" si="42"/>
        <v>#REF!</v>
      </c>
      <c r="L44" s="12" t="e">
        <f t="shared" si="42"/>
        <v>#REF!</v>
      </c>
      <c r="M44" s="12" t="e">
        <f t="shared" si="42"/>
        <v>#REF!</v>
      </c>
      <c r="N44" s="12" t="e">
        <f t="shared" si="42"/>
        <v>#REF!</v>
      </c>
      <c r="O44" s="12" t="e">
        <f t="shared" si="42"/>
        <v>#REF!</v>
      </c>
      <c r="P44" s="12" t="e">
        <f t="shared" si="42"/>
        <v>#REF!</v>
      </c>
      <c r="Q44" s="12" t="e">
        <f t="shared" si="42"/>
        <v>#REF!</v>
      </c>
      <c r="R44" s="12" t="e">
        <f t="shared" si="42"/>
        <v>#REF!</v>
      </c>
      <c r="S44" s="12" t="e">
        <f t="shared" si="42"/>
        <v>#REF!</v>
      </c>
      <c r="T44" s="12" t="e">
        <f t="shared" si="42"/>
        <v>#REF!</v>
      </c>
      <c r="U44" s="12" t="e">
        <f t="shared" si="42"/>
        <v>#REF!</v>
      </c>
      <c r="V44" s="12" t="e">
        <f t="shared" si="42"/>
        <v>#REF!</v>
      </c>
      <c r="W44" s="12" t="e">
        <f t="shared" si="42"/>
        <v>#REF!</v>
      </c>
      <c r="X44" s="12" t="e">
        <f t="shared" si="42"/>
        <v>#REF!</v>
      </c>
      <c r="Y44" s="12" t="e">
        <f t="shared" si="42"/>
        <v>#REF!</v>
      </c>
      <c r="Z44" s="12" t="e">
        <f t="shared" si="42"/>
        <v>#REF!</v>
      </c>
      <c r="AA44" s="12" t="e">
        <f t="shared" si="42"/>
        <v>#REF!</v>
      </c>
      <c r="AB44" s="12" t="e">
        <f t="shared" si="42"/>
        <v>#REF!</v>
      </c>
      <c r="AC44" s="12" t="e">
        <f t="shared" si="42"/>
        <v>#REF!</v>
      </c>
      <c r="AD44" s="12" t="e">
        <f t="shared" si="42"/>
        <v>#REF!</v>
      </c>
      <c r="AE44" s="12" t="e">
        <f t="shared" si="42"/>
        <v>#REF!</v>
      </c>
      <c r="AF44" s="12" t="e">
        <f t="shared" si="42"/>
        <v>#REF!</v>
      </c>
      <c r="AG44" s="12" t="e">
        <f t="shared" si="42"/>
        <v>#REF!</v>
      </c>
      <c r="AH44" s="12" t="e">
        <f t="shared" si="42"/>
        <v>#REF!</v>
      </c>
      <c r="AI44" s="12" t="e">
        <f t="shared" si="42"/>
        <v>#REF!</v>
      </c>
      <c r="AJ44" s="12" t="e">
        <f t="shared" si="42"/>
        <v>#REF!</v>
      </c>
      <c r="AK44" s="12" t="e">
        <f t="shared" si="42"/>
        <v>#REF!</v>
      </c>
      <c r="AL44" s="12" t="e">
        <f t="shared" si="42"/>
        <v>#REF!</v>
      </c>
      <c r="AM44" s="12" t="e">
        <f t="shared" si="42"/>
        <v>#REF!</v>
      </c>
      <c r="AN44" s="12" t="e">
        <f t="shared" si="42"/>
        <v>#REF!</v>
      </c>
      <c r="AO44" s="12" t="e">
        <f t="shared" si="42"/>
        <v>#REF!</v>
      </c>
      <c r="AP44" s="12" t="e">
        <f t="shared" ref="AP44:BU44" si="43">AP41/AP13</f>
        <v>#REF!</v>
      </c>
      <c r="AQ44" s="12" t="e">
        <f t="shared" si="43"/>
        <v>#REF!</v>
      </c>
      <c r="AR44" s="12" t="e">
        <f t="shared" si="43"/>
        <v>#REF!</v>
      </c>
      <c r="AS44" s="12" t="e">
        <f t="shared" si="43"/>
        <v>#REF!</v>
      </c>
      <c r="AT44" s="12" t="e">
        <f t="shared" si="43"/>
        <v>#REF!</v>
      </c>
      <c r="AU44" s="12" t="e">
        <f t="shared" si="43"/>
        <v>#REF!</v>
      </c>
      <c r="AV44" s="12" t="e">
        <f t="shared" si="43"/>
        <v>#REF!</v>
      </c>
      <c r="AW44" s="12" t="e">
        <f t="shared" si="43"/>
        <v>#REF!</v>
      </c>
      <c r="AX44" s="12" t="e">
        <f t="shared" si="43"/>
        <v>#REF!</v>
      </c>
      <c r="AY44" s="12" t="e">
        <f t="shared" si="43"/>
        <v>#REF!</v>
      </c>
      <c r="AZ44" s="12" t="e">
        <f t="shared" si="43"/>
        <v>#REF!</v>
      </c>
      <c r="BA44" s="12" t="e">
        <f t="shared" si="43"/>
        <v>#REF!</v>
      </c>
      <c r="BB44" s="12" t="e">
        <f t="shared" si="43"/>
        <v>#REF!</v>
      </c>
      <c r="BC44" s="12" t="e">
        <f t="shared" si="43"/>
        <v>#REF!</v>
      </c>
      <c r="BD44" s="12" t="e">
        <f t="shared" si="43"/>
        <v>#REF!</v>
      </c>
      <c r="BE44" s="12" t="e">
        <f t="shared" si="43"/>
        <v>#REF!</v>
      </c>
      <c r="BF44" s="12" t="e">
        <f t="shared" si="43"/>
        <v>#REF!</v>
      </c>
      <c r="BG44" s="12" t="e">
        <f t="shared" si="43"/>
        <v>#REF!</v>
      </c>
      <c r="BH44" s="12" t="e">
        <f t="shared" si="43"/>
        <v>#REF!</v>
      </c>
      <c r="BI44" s="12" t="e">
        <f t="shared" si="43"/>
        <v>#REF!</v>
      </c>
      <c r="BJ44" s="12" t="e">
        <f t="shared" si="43"/>
        <v>#REF!</v>
      </c>
      <c r="BK44" s="12" t="e">
        <f t="shared" si="43"/>
        <v>#REF!</v>
      </c>
      <c r="BL44" s="12" t="e">
        <f t="shared" si="43"/>
        <v>#REF!</v>
      </c>
      <c r="BM44" s="12" t="e">
        <f t="shared" si="43"/>
        <v>#REF!</v>
      </c>
      <c r="BN44" s="12" t="e">
        <f t="shared" si="43"/>
        <v>#REF!</v>
      </c>
      <c r="BO44" s="12" t="e">
        <f t="shared" si="43"/>
        <v>#REF!</v>
      </c>
      <c r="BP44" s="12" t="e">
        <f t="shared" si="43"/>
        <v>#REF!</v>
      </c>
      <c r="BQ44" s="12" t="e">
        <f t="shared" si="43"/>
        <v>#REF!</v>
      </c>
      <c r="BR44" s="12" t="e">
        <f t="shared" si="43"/>
        <v>#REF!</v>
      </c>
      <c r="BS44" s="12" t="e">
        <f t="shared" si="43"/>
        <v>#REF!</v>
      </c>
      <c r="BT44" s="12" t="e">
        <f t="shared" si="43"/>
        <v>#REF!</v>
      </c>
      <c r="BU44" s="12" t="e">
        <f t="shared" si="43"/>
        <v>#REF!</v>
      </c>
      <c r="BV44" s="12" t="e">
        <f t="shared" ref="BV44:CO44" si="44">BV41/BV13</f>
        <v>#REF!</v>
      </c>
      <c r="BW44" s="12" t="e">
        <f t="shared" si="44"/>
        <v>#REF!</v>
      </c>
      <c r="BX44" s="12" t="e">
        <f t="shared" si="44"/>
        <v>#REF!</v>
      </c>
      <c r="BY44" s="12" t="e">
        <f t="shared" si="44"/>
        <v>#REF!</v>
      </c>
      <c r="BZ44" s="12" t="e">
        <f t="shared" si="44"/>
        <v>#REF!</v>
      </c>
      <c r="CA44" s="12" t="e">
        <f t="shared" si="44"/>
        <v>#REF!</v>
      </c>
      <c r="CB44" s="12" t="e">
        <f t="shared" si="44"/>
        <v>#REF!</v>
      </c>
      <c r="CC44" s="12" t="e">
        <f t="shared" si="44"/>
        <v>#REF!</v>
      </c>
      <c r="CD44" s="12" t="e">
        <f t="shared" si="44"/>
        <v>#REF!</v>
      </c>
      <c r="CE44" s="12" t="e">
        <f t="shared" si="44"/>
        <v>#REF!</v>
      </c>
      <c r="CF44" s="12" t="e">
        <f t="shared" si="44"/>
        <v>#REF!</v>
      </c>
      <c r="CG44" s="12" t="e">
        <f t="shared" si="44"/>
        <v>#REF!</v>
      </c>
      <c r="CH44" s="12" t="e">
        <f t="shared" si="44"/>
        <v>#REF!</v>
      </c>
      <c r="CI44" s="12" t="e">
        <f t="shared" si="44"/>
        <v>#REF!</v>
      </c>
      <c r="CJ44" s="12" t="e">
        <f t="shared" si="44"/>
        <v>#REF!</v>
      </c>
      <c r="CK44" s="12" t="e">
        <f t="shared" si="44"/>
        <v>#REF!</v>
      </c>
      <c r="CL44" s="12" t="e">
        <f t="shared" si="44"/>
        <v>#REF!</v>
      </c>
      <c r="CM44" s="12" t="e">
        <f t="shared" si="44"/>
        <v>#REF!</v>
      </c>
      <c r="CN44" s="12" t="e">
        <f t="shared" si="44"/>
        <v>#REF!</v>
      </c>
      <c r="CO44" s="12" t="e">
        <f t="shared" si="44"/>
        <v>#REF!</v>
      </c>
    </row>
    <row r="45" spans="1:93" x14ac:dyDescent="0.2">
      <c r="A45" t="s">
        <v>21</v>
      </c>
      <c r="B45" s="25" t="e">
        <f>B44/B43</f>
        <v>#REF!</v>
      </c>
      <c r="C45" s="25" t="e">
        <f t="shared" ref="C45:E45" si="45">C44/C43</f>
        <v>#REF!</v>
      </c>
      <c r="D45" s="25" t="e">
        <f t="shared" si="45"/>
        <v>#REF!</v>
      </c>
      <c r="E45" s="25" t="e">
        <f t="shared" si="45"/>
        <v>#REF!</v>
      </c>
      <c r="F45" s="25" t="e">
        <f>F44/F43</f>
        <v>#REF!</v>
      </c>
      <c r="G45" s="25" t="e">
        <f>G44/G43</f>
        <v>#REF!</v>
      </c>
      <c r="H45" s="25" t="e">
        <f>H44/H43</f>
        <v>#REF!</v>
      </c>
      <c r="I45" s="25"/>
      <c r="J45" s="25" t="e">
        <f t="shared" ref="J45:BU45" si="46">J44/J43</f>
        <v>#REF!</v>
      </c>
      <c r="K45" s="25" t="e">
        <f t="shared" si="46"/>
        <v>#REF!</v>
      </c>
      <c r="L45" s="25" t="e">
        <f t="shared" si="46"/>
        <v>#REF!</v>
      </c>
      <c r="M45" s="25" t="e">
        <f t="shared" si="46"/>
        <v>#REF!</v>
      </c>
      <c r="N45" s="25" t="e">
        <f t="shared" si="46"/>
        <v>#REF!</v>
      </c>
      <c r="O45" s="25" t="e">
        <f t="shared" si="46"/>
        <v>#REF!</v>
      </c>
      <c r="P45" s="25" t="e">
        <f t="shared" si="46"/>
        <v>#REF!</v>
      </c>
      <c r="Q45" s="25" t="e">
        <f t="shared" si="46"/>
        <v>#REF!</v>
      </c>
      <c r="R45" s="25" t="e">
        <f t="shared" si="46"/>
        <v>#REF!</v>
      </c>
      <c r="S45" s="25" t="e">
        <f t="shared" si="46"/>
        <v>#REF!</v>
      </c>
      <c r="T45" s="25" t="e">
        <f t="shared" si="46"/>
        <v>#REF!</v>
      </c>
      <c r="U45" s="25" t="e">
        <f t="shared" si="46"/>
        <v>#REF!</v>
      </c>
      <c r="V45" s="25" t="e">
        <f t="shared" si="46"/>
        <v>#REF!</v>
      </c>
      <c r="W45" s="25" t="e">
        <f t="shared" si="46"/>
        <v>#REF!</v>
      </c>
      <c r="X45" s="25" t="e">
        <f t="shared" si="46"/>
        <v>#REF!</v>
      </c>
      <c r="Y45" s="25" t="e">
        <f t="shared" si="46"/>
        <v>#REF!</v>
      </c>
      <c r="Z45" s="25" t="e">
        <f t="shared" si="46"/>
        <v>#REF!</v>
      </c>
      <c r="AA45" s="25" t="e">
        <f t="shared" si="46"/>
        <v>#REF!</v>
      </c>
      <c r="AB45" s="25" t="e">
        <f t="shared" si="46"/>
        <v>#REF!</v>
      </c>
      <c r="AC45" s="25" t="e">
        <f t="shared" si="46"/>
        <v>#REF!</v>
      </c>
      <c r="AD45" s="25" t="e">
        <f t="shared" si="46"/>
        <v>#REF!</v>
      </c>
      <c r="AE45" s="25" t="e">
        <f t="shared" si="46"/>
        <v>#REF!</v>
      </c>
      <c r="AF45" s="25" t="e">
        <f t="shared" si="46"/>
        <v>#REF!</v>
      </c>
      <c r="AG45" s="25" t="e">
        <f t="shared" si="46"/>
        <v>#REF!</v>
      </c>
      <c r="AH45" s="25" t="e">
        <f t="shared" si="46"/>
        <v>#REF!</v>
      </c>
      <c r="AI45" s="25" t="e">
        <f t="shared" si="46"/>
        <v>#REF!</v>
      </c>
      <c r="AJ45" s="25" t="e">
        <f t="shared" si="46"/>
        <v>#REF!</v>
      </c>
      <c r="AK45" s="25" t="e">
        <f t="shared" si="46"/>
        <v>#REF!</v>
      </c>
      <c r="AL45" s="25" t="e">
        <f t="shared" si="46"/>
        <v>#REF!</v>
      </c>
      <c r="AM45" s="25" t="e">
        <f t="shared" si="46"/>
        <v>#REF!</v>
      </c>
      <c r="AN45" s="25" t="e">
        <f t="shared" si="46"/>
        <v>#REF!</v>
      </c>
      <c r="AO45" s="25" t="e">
        <f t="shared" si="46"/>
        <v>#REF!</v>
      </c>
      <c r="AP45" s="25" t="e">
        <f t="shared" si="46"/>
        <v>#REF!</v>
      </c>
      <c r="AQ45" s="25" t="e">
        <f t="shared" si="46"/>
        <v>#REF!</v>
      </c>
      <c r="AR45" s="25" t="e">
        <f t="shared" si="46"/>
        <v>#REF!</v>
      </c>
      <c r="AS45" s="25" t="e">
        <f t="shared" si="46"/>
        <v>#REF!</v>
      </c>
      <c r="AT45" s="25" t="e">
        <f t="shared" si="46"/>
        <v>#REF!</v>
      </c>
      <c r="AU45" s="25" t="e">
        <f t="shared" si="46"/>
        <v>#REF!</v>
      </c>
      <c r="AV45" s="25" t="e">
        <f t="shared" si="46"/>
        <v>#REF!</v>
      </c>
      <c r="AW45" s="25" t="e">
        <f t="shared" si="46"/>
        <v>#REF!</v>
      </c>
      <c r="AX45" s="25" t="e">
        <f t="shared" si="46"/>
        <v>#REF!</v>
      </c>
      <c r="AY45" s="25" t="e">
        <f t="shared" si="46"/>
        <v>#REF!</v>
      </c>
      <c r="AZ45" s="25" t="e">
        <f t="shared" si="46"/>
        <v>#REF!</v>
      </c>
      <c r="BA45" s="25" t="e">
        <f t="shared" si="46"/>
        <v>#REF!</v>
      </c>
      <c r="BB45" s="25" t="e">
        <f t="shared" si="46"/>
        <v>#REF!</v>
      </c>
      <c r="BC45" s="25" t="e">
        <f t="shared" si="46"/>
        <v>#REF!</v>
      </c>
      <c r="BD45" s="25" t="e">
        <f t="shared" si="46"/>
        <v>#REF!</v>
      </c>
      <c r="BE45" s="25" t="e">
        <f t="shared" si="46"/>
        <v>#REF!</v>
      </c>
      <c r="BF45" s="25" t="e">
        <f t="shared" si="46"/>
        <v>#REF!</v>
      </c>
      <c r="BG45" s="25" t="e">
        <f t="shared" si="46"/>
        <v>#REF!</v>
      </c>
      <c r="BH45" s="25" t="e">
        <f t="shared" si="46"/>
        <v>#REF!</v>
      </c>
      <c r="BI45" s="25" t="e">
        <f t="shared" si="46"/>
        <v>#REF!</v>
      </c>
      <c r="BJ45" s="25" t="e">
        <f t="shared" si="46"/>
        <v>#REF!</v>
      </c>
      <c r="BK45" s="25" t="e">
        <f t="shared" si="46"/>
        <v>#REF!</v>
      </c>
      <c r="BL45" s="25" t="e">
        <f t="shared" si="46"/>
        <v>#REF!</v>
      </c>
      <c r="BM45" s="25" t="e">
        <f t="shared" si="46"/>
        <v>#REF!</v>
      </c>
      <c r="BN45" s="25" t="e">
        <f t="shared" si="46"/>
        <v>#REF!</v>
      </c>
      <c r="BO45" s="25" t="e">
        <f t="shared" si="46"/>
        <v>#REF!</v>
      </c>
      <c r="BP45" s="25" t="e">
        <f t="shared" si="46"/>
        <v>#REF!</v>
      </c>
      <c r="BQ45" s="25" t="e">
        <f t="shared" si="46"/>
        <v>#REF!</v>
      </c>
      <c r="BR45" s="25" t="e">
        <f t="shared" si="46"/>
        <v>#REF!</v>
      </c>
      <c r="BS45" s="25" t="e">
        <f t="shared" si="46"/>
        <v>#REF!</v>
      </c>
      <c r="BT45" s="25" t="e">
        <f t="shared" si="46"/>
        <v>#REF!</v>
      </c>
      <c r="BU45" s="25" t="e">
        <f t="shared" si="46"/>
        <v>#REF!</v>
      </c>
      <c r="BV45" s="25" t="e">
        <f t="shared" ref="BV45:CO45" si="47">BV44/BV43</f>
        <v>#REF!</v>
      </c>
      <c r="BW45" s="25" t="e">
        <f t="shared" si="47"/>
        <v>#REF!</v>
      </c>
      <c r="BX45" s="25" t="e">
        <f t="shared" si="47"/>
        <v>#REF!</v>
      </c>
      <c r="BY45" s="25" t="e">
        <f t="shared" si="47"/>
        <v>#REF!</v>
      </c>
      <c r="BZ45" s="25" t="e">
        <f t="shared" si="47"/>
        <v>#REF!</v>
      </c>
      <c r="CA45" s="25" t="e">
        <f t="shared" si="47"/>
        <v>#REF!</v>
      </c>
      <c r="CB45" s="25" t="e">
        <f t="shared" si="47"/>
        <v>#REF!</v>
      </c>
      <c r="CC45" s="25" t="e">
        <f t="shared" si="47"/>
        <v>#REF!</v>
      </c>
      <c r="CD45" s="25" t="e">
        <f t="shared" si="47"/>
        <v>#REF!</v>
      </c>
      <c r="CE45" s="25" t="e">
        <f t="shared" si="47"/>
        <v>#REF!</v>
      </c>
      <c r="CF45" s="25" t="e">
        <f t="shared" si="47"/>
        <v>#REF!</v>
      </c>
      <c r="CG45" s="25" t="e">
        <f t="shared" si="47"/>
        <v>#REF!</v>
      </c>
      <c r="CH45" s="25" t="e">
        <f t="shared" si="47"/>
        <v>#REF!</v>
      </c>
      <c r="CI45" s="25" t="e">
        <f t="shared" si="47"/>
        <v>#REF!</v>
      </c>
      <c r="CJ45" s="25" t="e">
        <f t="shared" si="47"/>
        <v>#REF!</v>
      </c>
      <c r="CK45" s="25" t="e">
        <f t="shared" si="47"/>
        <v>#REF!</v>
      </c>
      <c r="CL45" s="25" t="e">
        <f t="shared" si="47"/>
        <v>#REF!</v>
      </c>
      <c r="CM45" s="25" t="e">
        <f t="shared" si="47"/>
        <v>#REF!</v>
      </c>
      <c r="CN45" s="25" t="e">
        <f t="shared" si="47"/>
        <v>#REF!</v>
      </c>
      <c r="CO45" s="25" t="e">
        <f t="shared" si="47"/>
        <v>#REF!</v>
      </c>
    </row>
    <row r="47" spans="1:93" s="70" customFormat="1" x14ac:dyDescent="0.2">
      <c r="A47" s="71" t="s">
        <v>144</v>
      </c>
      <c r="B47" s="68"/>
      <c r="C47" s="68"/>
      <c r="D47" s="68"/>
      <c r="E47" s="68"/>
      <c r="F47" s="68"/>
      <c r="G47" s="68"/>
      <c r="H47" s="68"/>
      <c r="I47" s="68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</row>
    <row r="48" spans="1:93" x14ac:dyDescent="0.2">
      <c r="A48" t="s">
        <v>223</v>
      </c>
    </row>
    <row r="49" spans="1:93" x14ac:dyDescent="0.2">
      <c r="A49" s="80" t="s">
        <v>221</v>
      </c>
      <c r="B49" s="12">
        <f t="shared" ref="B49:H49" si="48">B11</f>
        <v>1573.5890582500001</v>
      </c>
      <c r="C49" s="12">
        <f t="shared" si="48"/>
        <v>2656.5848648364286</v>
      </c>
      <c r="D49" s="12">
        <f t="shared" si="48"/>
        <v>7527.3984507462483</v>
      </c>
      <c r="E49" s="12">
        <f t="shared" si="48"/>
        <v>44053.502840441914</v>
      </c>
      <c r="F49" s="12">
        <f t="shared" si="48"/>
        <v>235697.25821856083</v>
      </c>
      <c r="G49" s="12">
        <f t="shared" si="48"/>
        <v>1261039.2806437199</v>
      </c>
      <c r="H49" s="12">
        <f t="shared" si="48"/>
        <v>6746875.5442705583</v>
      </c>
    </row>
    <row r="50" spans="1:93" x14ac:dyDescent="0.2">
      <c r="A50" s="80" t="s">
        <v>222</v>
      </c>
      <c r="B50" s="12">
        <f t="shared" ref="B50:H50" si="49">B21</f>
        <v>320000</v>
      </c>
      <c r="C50" s="12">
        <f t="shared" si="49"/>
        <v>601837.11</v>
      </c>
      <c r="D50" s="12">
        <f t="shared" si="49"/>
        <v>7320819.3800000008</v>
      </c>
      <c r="E50" s="12">
        <f t="shared" si="49"/>
        <v>25638134.039999992</v>
      </c>
      <c r="F50" s="12">
        <f t="shared" si="49"/>
        <v>39533765.049999997</v>
      </c>
      <c r="G50" s="12">
        <f t="shared" si="49"/>
        <v>52556764.949999981</v>
      </c>
      <c r="H50" s="12">
        <f t="shared" si="49"/>
        <v>65620965.99999997</v>
      </c>
    </row>
    <row r="51" spans="1:93" x14ac:dyDescent="0.2">
      <c r="A51" s="80" t="s">
        <v>165</v>
      </c>
      <c r="B51" s="12">
        <f>SUMIF(Merchants!$N$4:$N$11, 1, Merchants!$M$4:$M$11)</f>
        <v>33075.800000000003</v>
      </c>
      <c r="C51" s="12">
        <f>SUMIF(Merchants!$N$4:$N$11, 2, Merchants!$M$4:$M$11)</f>
        <v>407799.2</v>
      </c>
      <c r="D51" s="12">
        <f>SUMIF(Merchants!$N$4:$N$11, 3, Merchants!$M$4:$M$11)</f>
        <v>105956.50000000001</v>
      </c>
      <c r="E51" s="12">
        <f>SUMIF(Merchants!$N$4:$N$11, 4, Merchants!$M$4:$M$11)</f>
        <v>7370252.6999999993</v>
      </c>
      <c r="F51" s="12">
        <f>SUMIF(Merchants!$N$4:$N$11, 5, Merchants!$M$4:$M$11)</f>
        <v>10621011.600000001</v>
      </c>
      <c r="G51" s="12">
        <f>SUMIF(Merchants!$N$4:$N$11, 6, Merchants!$M$4:$M$11)</f>
        <v>10322809.200000001</v>
      </c>
      <c r="H51" s="12">
        <f>SUMIF(Merchants!$N$4:$N$11, 7, Merchants!$M$4:$M$11)</f>
        <v>0</v>
      </c>
    </row>
    <row r="52" spans="1:93" x14ac:dyDescent="0.2">
      <c r="A52" t="s">
        <v>151</v>
      </c>
      <c r="B52" s="12">
        <f>SUM(J52:U52)</f>
        <v>673900</v>
      </c>
      <c r="C52" s="12">
        <f>SUM(V52:AG52)</f>
        <v>864600.00000000012</v>
      </c>
      <c r="D52" s="12" t="e">
        <f>SUM(AH52:AS52)</f>
        <v>#REF!</v>
      </c>
      <c r="E52" s="12" t="e">
        <f>D52</f>
        <v>#REF!</v>
      </c>
      <c r="F52" s="12" t="e">
        <f t="shared" ref="F52:H52" si="50">E52</f>
        <v>#REF!</v>
      </c>
      <c r="G52" s="12" t="e">
        <f t="shared" si="50"/>
        <v>#REF!</v>
      </c>
      <c r="H52" s="12" t="e">
        <f t="shared" si="50"/>
        <v>#REF!</v>
      </c>
      <c r="J52" s="12">
        <f>'Expenses Yr1-2'!D34</f>
        <v>42158.333333333336</v>
      </c>
      <c r="K52" s="12">
        <f>'Expenses Yr1-2'!E34</f>
        <v>42158.333333333336</v>
      </c>
      <c r="L52" s="12">
        <f>'Expenses Yr1-2'!F34</f>
        <v>42158.333333333336</v>
      </c>
      <c r="M52" s="12">
        <f>'Expenses Yr1-2'!G34</f>
        <v>42158.333333333336</v>
      </c>
      <c r="N52" s="12">
        <f>'Expenses Yr1-2'!H34</f>
        <v>42158.333333333336</v>
      </c>
      <c r="O52" s="12">
        <f>'Expenses Yr1-2'!I34</f>
        <v>66158.333333333328</v>
      </c>
      <c r="P52" s="12">
        <f>'Expenses Yr1-2'!J34</f>
        <v>66158.333333333328</v>
      </c>
      <c r="Q52" s="12">
        <f>'Expenses Yr1-2'!K34</f>
        <v>66158.333333333328</v>
      </c>
      <c r="R52" s="12">
        <f>'Expenses Yr1-2'!L34</f>
        <v>66158.333333333328</v>
      </c>
      <c r="S52" s="12">
        <f>'Expenses Yr1-2'!M34</f>
        <v>66158.333333333328</v>
      </c>
      <c r="T52" s="12">
        <f>'Expenses Yr1-2'!N34</f>
        <v>66158.333333333328</v>
      </c>
      <c r="U52" s="12">
        <f>'Expenses Yr1-2'!O34</f>
        <v>66158.333333333328</v>
      </c>
      <c r="V52" s="12">
        <f>'Expenses Yr1-2'!P34</f>
        <v>71758.333333333328</v>
      </c>
      <c r="W52" s="12">
        <f>'Expenses Yr1-2'!Q34</f>
        <v>71758.333333333328</v>
      </c>
      <c r="X52" s="12">
        <f>'Expenses Yr1-2'!R34</f>
        <v>71758.333333333328</v>
      </c>
      <c r="Y52" s="12">
        <f>'Expenses Yr1-2'!S34</f>
        <v>71758.333333333328</v>
      </c>
      <c r="Z52" s="12">
        <f>'Expenses Yr1-2'!T34</f>
        <v>71758.333333333328</v>
      </c>
      <c r="AA52" s="12">
        <f>'Expenses Yr1-2'!U34</f>
        <v>72258.333333333328</v>
      </c>
      <c r="AB52" s="12">
        <f>'Expenses Yr1-2'!V34</f>
        <v>72258.333333333328</v>
      </c>
      <c r="AC52" s="12">
        <f>'Expenses Yr1-2'!W34</f>
        <v>72258.333333333328</v>
      </c>
      <c r="AD52" s="12">
        <f>'Expenses Yr1-2'!X34</f>
        <v>72258.333333333328</v>
      </c>
      <c r="AE52" s="12">
        <f>'Expenses Yr1-2'!Y34</f>
        <v>72258.333333333328</v>
      </c>
      <c r="AF52" s="12">
        <f>'Expenses Yr1-2'!Z34</f>
        <v>72258.333333333328</v>
      </c>
      <c r="AG52" s="12">
        <f>'Expenses Yr1-2'!AA34</f>
        <v>72258.333333333328</v>
      </c>
      <c r="AH52" s="12" t="e">
        <f>'Expenses Yr1-2'!#REF!</f>
        <v>#REF!</v>
      </c>
      <c r="AI52" s="12" t="e">
        <f>'Expenses Yr1-2'!#REF!</f>
        <v>#REF!</v>
      </c>
      <c r="AJ52" s="12" t="e">
        <f>'Expenses Yr1-2'!#REF!</f>
        <v>#REF!</v>
      </c>
      <c r="AK52" s="12" t="e">
        <f>'Expenses Yr1-2'!#REF!</f>
        <v>#REF!</v>
      </c>
      <c r="AL52" s="12" t="e">
        <f>'Expenses Yr1-2'!#REF!</f>
        <v>#REF!</v>
      </c>
      <c r="AM52" s="12" t="e">
        <f>'Expenses Yr1-2'!#REF!</f>
        <v>#REF!</v>
      </c>
      <c r="AN52" s="12" t="e">
        <f>'Expenses Yr1-2'!#REF!</f>
        <v>#REF!</v>
      </c>
      <c r="AO52" s="12" t="e">
        <f>'Expenses Yr1-2'!#REF!</f>
        <v>#REF!</v>
      </c>
      <c r="AP52" s="12" t="e">
        <f>'Expenses Yr1-2'!#REF!</f>
        <v>#REF!</v>
      </c>
      <c r="AQ52" s="12" t="e">
        <f>'Expenses Yr1-2'!#REF!</f>
        <v>#REF!</v>
      </c>
      <c r="AR52" s="12" t="e">
        <f>'Expenses Yr1-2'!#REF!</f>
        <v>#REF!</v>
      </c>
      <c r="AS52" s="12" t="e">
        <f>'Expenses Yr1-2'!#REF!</f>
        <v>#REF!</v>
      </c>
    </row>
    <row r="53" spans="1:93" x14ac:dyDescent="0.2">
      <c r="A53" s="74" t="s">
        <v>152</v>
      </c>
      <c r="B53" s="12">
        <v>0</v>
      </c>
      <c r="C53" s="12">
        <v>0</v>
      </c>
      <c r="D53" s="12">
        <v>0</v>
      </c>
      <c r="E53" s="12" t="e">
        <f>' Inputs'!C60*Subscriptions!E41</f>
        <v>#REF!</v>
      </c>
      <c r="F53" s="12" t="e">
        <f>F41*' Inputs'!C61</f>
        <v>#REF!</v>
      </c>
      <c r="G53" s="12" t="e">
        <f>' Inputs'!C62*Subscriptions!G41</f>
        <v>#REF!</v>
      </c>
      <c r="H53" s="12" t="e">
        <f>' Inputs'!C63*H41</f>
        <v>#REF!</v>
      </c>
      <c r="J53" s="12"/>
      <c r="K53" s="12"/>
      <c r="L53" s="12"/>
      <c r="M53" s="12"/>
    </row>
    <row r="55" spans="1:93" x14ac:dyDescent="0.2">
      <c r="A55" s="74" t="s">
        <v>153</v>
      </c>
      <c r="B55" s="12">
        <f t="shared" ref="B55:H55" si="51">SUM(B49:B54)</f>
        <v>1028549.38905825</v>
      </c>
      <c r="C55" s="12">
        <f t="shared" si="51"/>
        <v>1876892.8948648367</v>
      </c>
      <c r="D55" s="12" t="e">
        <f t="shared" si="51"/>
        <v>#REF!</v>
      </c>
      <c r="E55" s="12" t="e">
        <f t="shared" si="51"/>
        <v>#REF!</v>
      </c>
      <c r="F55" s="12" t="e">
        <f>SUM(F49:F54)</f>
        <v>#REF!</v>
      </c>
      <c r="G55" s="12" t="e">
        <f t="shared" si="51"/>
        <v>#REF!</v>
      </c>
      <c r="H55" s="12" t="e">
        <f t="shared" si="51"/>
        <v>#REF!</v>
      </c>
    </row>
    <row r="57" spans="1:93" s="70" customFormat="1" x14ac:dyDescent="0.2">
      <c r="A57" s="71" t="s">
        <v>156</v>
      </c>
      <c r="B57" s="68"/>
      <c r="C57" s="68"/>
      <c r="D57" s="68"/>
      <c r="E57" s="68"/>
      <c r="F57" s="68"/>
      <c r="G57" s="68"/>
      <c r="H57" s="68"/>
      <c r="I57" s="68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</row>
    <row r="58" spans="1:93" x14ac:dyDescent="0.2">
      <c r="A58" s="74" t="s">
        <v>158</v>
      </c>
      <c r="B58" s="12" t="e">
        <f t="shared" ref="B58:H58" si="52">B41-B55</f>
        <v>#REF!</v>
      </c>
      <c r="C58" s="12" t="e">
        <f t="shared" si="52"/>
        <v>#REF!</v>
      </c>
      <c r="D58" s="12" t="e">
        <f t="shared" si="52"/>
        <v>#REF!</v>
      </c>
      <c r="E58" s="12" t="e">
        <f t="shared" si="52"/>
        <v>#REF!</v>
      </c>
      <c r="F58" s="12" t="e">
        <f t="shared" si="52"/>
        <v>#REF!</v>
      </c>
      <c r="G58" s="12" t="e">
        <f t="shared" si="52"/>
        <v>#REF!</v>
      </c>
      <c r="H58" s="12" t="e">
        <f t="shared" si="52"/>
        <v>#REF!</v>
      </c>
    </row>
    <row r="59" spans="1:93" x14ac:dyDescent="0.2">
      <c r="A59" s="74"/>
    </row>
    <row r="60" spans="1:93" x14ac:dyDescent="0.2">
      <c r="A60" s="74"/>
      <c r="B60" s="12" t="s">
        <v>98</v>
      </c>
      <c r="C60" s="12" t="s">
        <v>167</v>
      </c>
      <c r="D60" s="12" t="s">
        <v>169</v>
      </c>
      <c r="E60" s="12" t="s">
        <v>200</v>
      </c>
      <c r="F60" s="12" t="s">
        <v>168</v>
      </c>
    </row>
    <row r="61" spans="1:93" x14ac:dyDescent="0.2">
      <c r="A61" s="74" t="s">
        <v>157</v>
      </c>
      <c r="B61" s="12">
        <v>3000000</v>
      </c>
      <c r="C61" s="12">
        <v>3000000</v>
      </c>
      <c r="D61" s="12">
        <v>25000000</v>
      </c>
      <c r="E61" s="12">
        <v>50000000</v>
      </c>
      <c r="F61" s="12">
        <v>50000000</v>
      </c>
    </row>
    <row r="62" spans="1:93" x14ac:dyDescent="0.2">
      <c r="A62" t="s">
        <v>154</v>
      </c>
      <c r="B62" s="12">
        <v>0</v>
      </c>
      <c r="C62" s="12" t="e">
        <f>B63</f>
        <v>#REF!</v>
      </c>
      <c r="D62" s="12" t="e">
        <f t="shared" ref="D62:H62" si="53">C63</f>
        <v>#REF!</v>
      </c>
      <c r="E62" s="12" t="e">
        <f>D63</f>
        <v>#REF!</v>
      </c>
      <c r="F62" s="12" t="e">
        <f t="shared" si="53"/>
        <v>#REF!</v>
      </c>
      <c r="G62" s="12" t="e">
        <f t="shared" si="53"/>
        <v>#REF!</v>
      </c>
      <c r="H62" s="12" t="e">
        <f t="shared" si="53"/>
        <v>#REF!</v>
      </c>
    </row>
    <row r="63" spans="1:93" x14ac:dyDescent="0.2">
      <c r="A63" t="s">
        <v>155</v>
      </c>
      <c r="B63" s="12" t="e">
        <f t="shared" ref="B63:H63" si="54">B62+B58+B61</f>
        <v>#REF!</v>
      </c>
      <c r="C63" s="12" t="e">
        <f t="shared" si="54"/>
        <v>#REF!</v>
      </c>
      <c r="D63" s="12" t="e">
        <f t="shared" si="54"/>
        <v>#REF!</v>
      </c>
      <c r="E63" s="12" t="e">
        <f t="shared" si="54"/>
        <v>#REF!</v>
      </c>
      <c r="F63" s="12" t="e">
        <f t="shared" si="54"/>
        <v>#REF!</v>
      </c>
      <c r="G63" s="12" t="e">
        <f t="shared" si="54"/>
        <v>#REF!</v>
      </c>
      <c r="H63" s="12" t="e">
        <f t="shared" si="54"/>
        <v>#REF!</v>
      </c>
    </row>
    <row r="64" spans="1:93" x14ac:dyDescent="0.2">
      <c r="B64" s="91" t="s">
        <v>197</v>
      </c>
      <c r="C64" s="91" t="s">
        <v>198</v>
      </c>
      <c r="D64" s="91" t="s">
        <v>199</v>
      </c>
    </row>
  </sheetData>
  <pageMargins left="0.5" right="0.5" top="0.5" bottom="0.5" header="0.5" footer="0.5"/>
  <pageSetup scale="53" orientation="portrait" horizontalDpi="4294967292" verticalDpi="4294967292"/>
  <colBreaks count="1" manualBreakCount="1">
    <brk id="18" max="4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F03D-4BC5-F74D-B62F-676757C1B3D6}">
  <dimension ref="A1:AA43"/>
  <sheetViews>
    <sheetView workbookViewId="0">
      <pane xSplit="1" topLeftCell="B1" activePane="topRight" state="frozen"/>
      <selection pane="topRight" activeCell="G14" sqref="G14"/>
    </sheetView>
  </sheetViews>
  <sheetFormatPr baseColWidth="10" defaultRowHeight="16" x14ac:dyDescent="0.2"/>
  <cols>
    <col min="1" max="1" width="31.83203125" bestFit="1" customWidth="1"/>
    <col min="2" max="3" width="10.5" style="3" customWidth="1"/>
    <col min="4" max="4" width="8.83203125" style="3" customWidth="1"/>
    <col min="5" max="5" width="8" style="3" bestFit="1" customWidth="1"/>
    <col min="6" max="18" width="8.83203125" style="3" customWidth="1"/>
    <col min="19" max="27" width="9.33203125" style="3" bestFit="1" customWidth="1"/>
  </cols>
  <sheetData>
    <row r="1" spans="1:27" x14ac:dyDescent="0.2">
      <c r="B1" s="2">
        <v>2024</v>
      </c>
      <c r="C1" s="2">
        <v>2025</v>
      </c>
      <c r="D1" s="6">
        <f>' Inputs'!B3</f>
        <v>45292</v>
      </c>
      <c r="E1" s="6">
        <f>D1+31</f>
        <v>45323</v>
      </c>
      <c r="F1" s="6">
        <f t="shared" ref="F1:AA1" si="0">E1+31</f>
        <v>45354</v>
      </c>
      <c r="G1" s="6">
        <f t="shared" si="0"/>
        <v>45385</v>
      </c>
      <c r="H1" s="6">
        <f t="shared" si="0"/>
        <v>45416</v>
      </c>
      <c r="I1" s="6">
        <f t="shared" si="0"/>
        <v>45447</v>
      </c>
      <c r="J1" s="6">
        <f t="shared" si="0"/>
        <v>45478</v>
      </c>
      <c r="K1" s="6">
        <f t="shared" si="0"/>
        <v>45509</v>
      </c>
      <c r="L1" s="6">
        <f t="shared" si="0"/>
        <v>45540</v>
      </c>
      <c r="M1" s="6">
        <f t="shared" si="0"/>
        <v>45571</v>
      </c>
      <c r="N1" s="6">
        <f t="shared" si="0"/>
        <v>45602</v>
      </c>
      <c r="O1" s="6">
        <f t="shared" si="0"/>
        <v>45633</v>
      </c>
      <c r="P1" s="6">
        <f t="shared" si="0"/>
        <v>45664</v>
      </c>
      <c r="Q1" s="6">
        <f t="shared" si="0"/>
        <v>45695</v>
      </c>
      <c r="R1" s="6">
        <f t="shared" si="0"/>
        <v>45726</v>
      </c>
      <c r="S1" s="6">
        <f t="shared" si="0"/>
        <v>45757</v>
      </c>
      <c r="T1" s="6">
        <f t="shared" si="0"/>
        <v>45788</v>
      </c>
      <c r="U1" s="6">
        <f t="shared" si="0"/>
        <v>45819</v>
      </c>
      <c r="V1" s="6">
        <f t="shared" si="0"/>
        <v>45850</v>
      </c>
      <c r="W1" s="6">
        <f t="shared" si="0"/>
        <v>45881</v>
      </c>
      <c r="X1" s="6">
        <f t="shared" si="0"/>
        <v>45912</v>
      </c>
      <c r="Y1" s="6">
        <f t="shared" si="0"/>
        <v>45943</v>
      </c>
      <c r="Z1" s="6">
        <f t="shared" si="0"/>
        <v>45974</v>
      </c>
      <c r="AA1" s="6">
        <f t="shared" si="0"/>
        <v>46005</v>
      </c>
    </row>
    <row r="2" spans="1:27" x14ac:dyDescent="0.2">
      <c r="B2" s="2" t="s">
        <v>0</v>
      </c>
      <c r="C2" s="2" t="s">
        <v>1</v>
      </c>
      <c r="D2" s="2" t="str">
        <f t="shared" ref="D2:AA2" si="1">CONCATENATE("Month ", D3)</f>
        <v>Month 1</v>
      </c>
      <c r="E2" s="2" t="str">
        <f t="shared" si="1"/>
        <v>Month 2</v>
      </c>
      <c r="F2" s="2" t="str">
        <f t="shared" si="1"/>
        <v>Month 3</v>
      </c>
      <c r="G2" s="2" t="str">
        <f t="shared" si="1"/>
        <v>Month 4</v>
      </c>
      <c r="H2" s="2" t="str">
        <f t="shared" si="1"/>
        <v>Month 5</v>
      </c>
      <c r="I2" s="2" t="str">
        <f t="shared" si="1"/>
        <v>Month 6</v>
      </c>
      <c r="J2" s="2" t="str">
        <f t="shared" si="1"/>
        <v>Month 7</v>
      </c>
      <c r="K2" s="2" t="str">
        <f t="shared" si="1"/>
        <v>Month 8</v>
      </c>
      <c r="L2" s="2" t="str">
        <f t="shared" si="1"/>
        <v>Month 9</v>
      </c>
      <c r="M2" s="2" t="str">
        <f t="shared" si="1"/>
        <v>Month 10</v>
      </c>
      <c r="N2" s="2" t="str">
        <f t="shared" si="1"/>
        <v>Month 11</v>
      </c>
      <c r="O2" s="2" t="str">
        <f t="shared" si="1"/>
        <v>Month 12</v>
      </c>
      <c r="P2" s="2" t="str">
        <f t="shared" si="1"/>
        <v>Month 13</v>
      </c>
      <c r="Q2" s="2" t="str">
        <f t="shared" si="1"/>
        <v>Month 14</v>
      </c>
      <c r="R2" s="2" t="str">
        <f t="shared" si="1"/>
        <v>Month 15</v>
      </c>
      <c r="S2" s="2" t="str">
        <f t="shared" si="1"/>
        <v>Month 16</v>
      </c>
      <c r="T2" s="2" t="str">
        <f t="shared" si="1"/>
        <v>Month 17</v>
      </c>
      <c r="U2" s="2" t="str">
        <f t="shared" si="1"/>
        <v>Month 18</v>
      </c>
      <c r="V2" s="2" t="str">
        <f t="shared" si="1"/>
        <v>Month 19</v>
      </c>
      <c r="W2" s="2" t="str">
        <f t="shared" si="1"/>
        <v>Month 20</v>
      </c>
      <c r="X2" s="2" t="str">
        <f t="shared" si="1"/>
        <v>Month 21</v>
      </c>
      <c r="Y2" s="2" t="str">
        <f t="shared" si="1"/>
        <v>Month 22</v>
      </c>
      <c r="Z2" s="2" t="str">
        <f t="shared" si="1"/>
        <v>Month 23</v>
      </c>
      <c r="AA2" s="2" t="str">
        <f t="shared" si="1"/>
        <v>Month 24</v>
      </c>
    </row>
    <row r="3" spans="1:27" hidden="1" x14ac:dyDescent="0.2">
      <c r="D3" s="96">
        <v>1</v>
      </c>
      <c r="E3" s="96">
        <v>2</v>
      </c>
      <c r="F3" s="96">
        <v>3</v>
      </c>
      <c r="G3" s="96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</row>
    <row r="4" spans="1:27" x14ac:dyDescent="0.2">
      <c r="A4" t="s">
        <v>269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</row>
    <row r="5" spans="1:27" x14ac:dyDescent="0.2">
      <c r="A5" s="80" t="s">
        <v>270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</row>
    <row r="6" spans="1:27" x14ac:dyDescent="0.2">
      <c r="A6" s="80" t="s">
        <v>274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</row>
    <row r="7" spans="1:27" x14ac:dyDescent="0.2">
      <c r="A7" s="80" t="s">
        <v>271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</row>
    <row r="8" spans="1:27" x14ac:dyDescent="0.2">
      <c r="A8" s="74" t="s">
        <v>277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</row>
    <row r="9" spans="1:27" x14ac:dyDescent="0.2"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</row>
    <row r="10" spans="1:27" x14ac:dyDescent="0.2">
      <c r="A10" t="s">
        <v>272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</row>
    <row r="11" spans="1:27" x14ac:dyDescent="0.2">
      <c r="A11" s="80" t="s">
        <v>275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</row>
    <row r="12" spans="1:27" x14ac:dyDescent="0.2">
      <c r="A12" s="80" t="s">
        <v>273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</row>
    <row r="13" spans="1:27" x14ac:dyDescent="0.2">
      <c r="A13" s="80" t="s">
        <v>274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</row>
    <row r="14" spans="1:27" x14ac:dyDescent="0.2">
      <c r="A14" s="80" t="s">
        <v>271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</row>
    <row r="15" spans="1:27" x14ac:dyDescent="0.2">
      <c r="A15" s="74" t="s">
        <v>276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</row>
    <row r="16" spans="1:27" x14ac:dyDescent="0.2"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</row>
    <row r="17" spans="1:27" x14ac:dyDescent="0.2">
      <c r="A17" s="15" t="s">
        <v>151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x14ac:dyDescent="0.2">
      <c r="A18" t="s">
        <v>189</v>
      </c>
      <c r="B18" s="12">
        <f>SUM(D18:O18)</f>
        <v>9000</v>
      </c>
      <c r="C18" s="12">
        <f>SUM(P18:AA18)</f>
        <v>12000</v>
      </c>
      <c r="D18" s="12">
        <v>750</v>
      </c>
      <c r="E18" s="12">
        <v>750</v>
      </c>
      <c r="F18" s="12">
        <v>750</v>
      </c>
      <c r="G18" s="12">
        <v>750</v>
      </c>
      <c r="H18" s="12">
        <v>750</v>
      </c>
      <c r="I18" s="12">
        <v>750</v>
      </c>
      <c r="J18" s="12">
        <v>750</v>
      </c>
      <c r="K18" s="12">
        <v>750</v>
      </c>
      <c r="L18" s="12">
        <v>750</v>
      </c>
      <c r="M18" s="12">
        <v>750</v>
      </c>
      <c r="N18" s="12">
        <v>750</v>
      </c>
      <c r="O18" s="12">
        <v>750</v>
      </c>
      <c r="P18" s="12">
        <v>1000</v>
      </c>
      <c r="Q18" s="12">
        <v>1000</v>
      </c>
      <c r="R18" s="12">
        <v>1000</v>
      </c>
      <c r="S18" s="12">
        <v>1000</v>
      </c>
      <c r="T18" s="12">
        <v>1000</v>
      </c>
      <c r="U18" s="12">
        <v>1000</v>
      </c>
      <c r="V18" s="12">
        <v>1000</v>
      </c>
      <c r="W18" s="12">
        <v>1000</v>
      </c>
      <c r="X18" s="12">
        <v>1000</v>
      </c>
      <c r="Y18" s="12">
        <v>1000</v>
      </c>
      <c r="Z18" s="12">
        <v>1000</v>
      </c>
      <c r="AA18" s="12">
        <v>1000</v>
      </c>
    </row>
    <row r="19" spans="1:27" x14ac:dyDescent="0.2">
      <c r="A19" t="s">
        <v>235</v>
      </c>
      <c r="B19" s="12">
        <f t="shared" ref="B19:B30" si="2">SUM(D19:O19)</f>
        <v>12000</v>
      </c>
      <c r="C19" s="12">
        <f t="shared" ref="C19:C30" si="3">SUM(P19:AA19)</f>
        <v>18000</v>
      </c>
      <c r="D19" s="12">
        <v>1000</v>
      </c>
      <c r="E19" s="12">
        <v>1000</v>
      </c>
      <c r="F19" s="12">
        <v>1000</v>
      </c>
      <c r="G19" s="12">
        <v>1000</v>
      </c>
      <c r="H19" s="12">
        <v>1000</v>
      </c>
      <c r="I19" s="12">
        <v>1000</v>
      </c>
      <c r="J19" s="12">
        <v>1000</v>
      </c>
      <c r="K19" s="12">
        <v>1000</v>
      </c>
      <c r="L19" s="12">
        <v>1000</v>
      </c>
      <c r="M19" s="12">
        <v>1000</v>
      </c>
      <c r="N19" s="12">
        <v>1000</v>
      </c>
      <c r="O19" s="12">
        <v>1000</v>
      </c>
      <c r="P19" s="12">
        <v>1500</v>
      </c>
      <c r="Q19" s="12">
        <v>1500</v>
      </c>
      <c r="R19" s="12">
        <v>1500</v>
      </c>
      <c r="S19" s="12">
        <v>1500</v>
      </c>
      <c r="T19" s="12">
        <v>1500</v>
      </c>
      <c r="U19" s="12">
        <v>1500</v>
      </c>
      <c r="V19" s="12">
        <v>1500</v>
      </c>
      <c r="W19" s="12">
        <v>1500</v>
      </c>
      <c r="X19" s="12">
        <v>1500</v>
      </c>
      <c r="Y19" s="12">
        <v>1500</v>
      </c>
      <c r="Z19" s="12">
        <v>1500</v>
      </c>
      <c r="AA19" s="12">
        <v>1500</v>
      </c>
    </row>
    <row r="20" spans="1:27" x14ac:dyDescent="0.2">
      <c r="A20" t="s">
        <v>190</v>
      </c>
      <c r="B20" s="12">
        <f t="shared" si="2"/>
        <v>6000</v>
      </c>
      <c r="C20" s="12">
        <f t="shared" si="3"/>
        <v>6000</v>
      </c>
      <c r="D20" s="12">
        <v>500</v>
      </c>
      <c r="E20" s="12">
        <v>500</v>
      </c>
      <c r="F20" s="12">
        <v>500</v>
      </c>
      <c r="G20" s="12">
        <v>500</v>
      </c>
      <c r="H20" s="12">
        <v>500</v>
      </c>
      <c r="I20" s="12">
        <v>500</v>
      </c>
      <c r="J20" s="12">
        <v>500</v>
      </c>
      <c r="K20" s="12">
        <v>500</v>
      </c>
      <c r="L20" s="12">
        <v>500</v>
      </c>
      <c r="M20" s="12">
        <v>500</v>
      </c>
      <c r="N20" s="12">
        <v>500</v>
      </c>
      <c r="O20" s="12">
        <v>500</v>
      </c>
      <c r="P20" s="12">
        <v>500</v>
      </c>
      <c r="Q20" s="12">
        <v>500</v>
      </c>
      <c r="R20" s="12">
        <v>500</v>
      </c>
      <c r="S20" s="12">
        <v>500</v>
      </c>
      <c r="T20" s="12">
        <v>500</v>
      </c>
      <c r="U20" s="12">
        <v>500</v>
      </c>
      <c r="V20" s="12">
        <v>500</v>
      </c>
      <c r="W20" s="12">
        <v>500</v>
      </c>
      <c r="X20" s="12">
        <v>500</v>
      </c>
      <c r="Y20" s="12">
        <v>500</v>
      </c>
      <c r="Z20" s="12">
        <v>500</v>
      </c>
      <c r="AA20" s="12">
        <v>500</v>
      </c>
    </row>
    <row r="21" spans="1:27" x14ac:dyDescent="0.2">
      <c r="A21" t="s">
        <v>237</v>
      </c>
      <c r="B21" s="12">
        <f t="shared" si="2"/>
        <v>1200</v>
      </c>
      <c r="C21" s="12">
        <f t="shared" si="3"/>
        <v>2400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  <c r="N21" s="12">
        <v>100</v>
      </c>
      <c r="O21" s="12">
        <v>100</v>
      </c>
      <c r="P21" s="12">
        <v>200</v>
      </c>
      <c r="Q21" s="12">
        <v>200</v>
      </c>
      <c r="R21" s="12">
        <v>200</v>
      </c>
      <c r="S21" s="12">
        <v>200</v>
      </c>
      <c r="T21" s="12">
        <v>200</v>
      </c>
      <c r="U21" s="12">
        <v>200</v>
      </c>
      <c r="V21" s="12">
        <v>200</v>
      </c>
      <c r="W21" s="12">
        <v>200</v>
      </c>
      <c r="X21" s="12">
        <v>200</v>
      </c>
      <c r="Y21" s="12">
        <v>200</v>
      </c>
      <c r="Z21" s="12">
        <v>200</v>
      </c>
      <c r="AA21" s="12">
        <v>200</v>
      </c>
    </row>
    <row r="22" spans="1:27" x14ac:dyDescent="0.2">
      <c r="A22" t="s">
        <v>236</v>
      </c>
      <c r="B22" s="12">
        <f t="shared" si="2"/>
        <v>15500</v>
      </c>
      <c r="C22" s="12">
        <f t="shared" si="3"/>
        <v>18000</v>
      </c>
      <c r="D22" s="12">
        <v>1000</v>
      </c>
      <c r="E22" s="12">
        <v>1000</v>
      </c>
      <c r="F22" s="12">
        <v>1000</v>
      </c>
      <c r="G22" s="12">
        <v>1000</v>
      </c>
      <c r="H22" s="12">
        <v>1000</v>
      </c>
      <c r="I22" s="12">
        <v>1500</v>
      </c>
      <c r="J22" s="12">
        <v>1500</v>
      </c>
      <c r="K22" s="12">
        <v>1500</v>
      </c>
      <c r="L22" s="12">
        <v>1500</v>
      </c>
      <c r="M22" s="12">
        <v>1500</v>
      </c>
      <c r="N22" s="12">
        <v>1500</v>
      </c>
      <c r="O22" s="12">
        <v>1500</v>
      </c>
      <c r="P22" s="12">
        <v>1500</v>
      </c>
      <c r="Q22" s="12">
        <v>1500</v>
      </c>
      <c r="R22" s="12">
        <v>1500</v>
      </c>
      <c r="S22" s="12">
        <v>1500</v>
      </c>
      <c r="T22" s="12">
        <v>1500</v>
      </c>
      <c r="U22" s="12">
        <v>1500</v>
      </c>
      <c r="V22" s="12">
        <v>1500</v>
      </c>
      <c r="W22" s="12">
        <v>1500</v>
      </c>
      <c r="X22" s="12">
        <v>1500</v>
      </c>
      <c r="Y22" s="12">
        <v>1500</v>
      </c>
      <c r="Z22" s="12">
        <v>1500</v>
      </c>
      <c r="AA22" s="12">
        <v>1500</v>
      </c>
    </row>
    <row r="23" spans="1:27" x14ac:dyDescent="0.2">
      <c r="A23" t="s">
        <v>195</v>
      </c>
      <c r="B23" s="12">
        <f t="shared" si="2"/>
        <v>6000</v>
      </c>
      <c r="C23" s="12">
        <f>SUM(P23:AA23)</f>
        <v>6000</v>
      </c>
      <c r="D23" s="12">
        <v>500</v>
      </c>
      <c r="E23" s="12">
        <v>500</v>
      </c>
      <c r="F23" s="12">
        <v>500</v>
      </c>
      <c r="G23" s="12">
        <v>500</v>
      </c>
      <c r="H23" s="12">
        <v>500</v>
      </c>
      <c r="I23" s="12">
        <v>500</v>
      </c>
      <c r="J23" s="12">
        <v>500</v>
      </c>
      <c r="K23" s="12">
        <v>500</v>
      </c>
      <c r="L23" s="12">
        <v>500</v>
      </c>
      <c r="M23" s="12">
        <v>500</v>
      </c>
      <c r="N23" s="12">
        <v>500</v>
      </c>
      <c r="O23" s="12">
        <v>500</v>
      </c>
      <c r="P23" s="12">
        <v>500</v>
      </c>
      <c r="Q23" s="12">
        <v>500</v>
      </c>
      <c r="R23" s="12">
        <v>500</v>
      </c>
      <c r="S23" s="12">
        <v>500</v>
      </c>
      <c r="T23" s="12">
        <v>500</v>
      </c>
      <c r="U23" s="12">
        <v>500</v>
      </c>
      <c r="V23" s="12">
        <v>500</v>
      </c>
      <c r="W23" s="12">
        <v>500</v>
      </c>
      <c r="X23" s="12">
        <v>500</v>
      </c>
      <c r="Y23" s="12">
        <v>500</v>
      </c>
      <c r="Z23" s="12">
        <v>500</v>
      </c>
      <c r="AA23" s="12">
        <v>500</v>
      </c>
    </row>
    <row r="24" spans="1:27" x14ac:dyDescent="0.2">
      <c r="A24" t="s">
        <v>191</v>
      </c>
      <c r="B24" s="12">
        <f t="shared" si="2"/>
        <v>12000</v>
      </c>
      <c r="C24" s="12">
        <f t="shared" si="3"/>
        <v>12000</v>
      </c>
      <c r="D24" s="12">
        <v>1000</v>
      </c>
      <c r="E24" s="12">
        <v>1000</v>
      </c>
      <c r="F24" s="12">
        <v>1000</v>
      </c>
      <c r="G24" s="12">
        <v>1000</v>
      </c>
      <c r="H24" s="12">
        <v>1000</v>
      </c>
      <c r="I24" s="12">
        <v>1000</v>
      </c>
      <c r="J24" s="12">
        <v>1000</v>
      </c>
      <c r="K24" s="12">
        <v>1000</v>
      </c>
      <c r="L24" s="12">
        <v>1000</v>
      </c>
      <c r="M24" s="12">
        <v>1000</v>
      </c>
      <c r="N24" s="12">
        <v>1000</v>
      </c>
      <c r="O24" s="12">
        <v>1000</v>
      </c>
      <c r="P24" s="12">
        <v>1000</v>
      </c>
      <c r="Q24" s="12">
        <v>1000</v>
      </c>
      <c r="R24" s="12">
        <v>1000</v>
      </c>
      <c r="S24" s="12">
        <v>1000</v>
      </c>
      <c r="T24" s="12">
        <v>1000</v>
      </c>
      <c r="U24" s="12">
        <v>1000</v>
      </c>
      <c r="V24" s="12">
        <v>1000</v>
      </c>
      <c r="W24" s="12">
        <v>1000</v>
      </c>
      <c r="X24" s="12">
        <v>1000</v>
      </c>
      <c r="Y24" s="12">
        <v>1000</v>
      </c>
      <c r="Z24" s="12">
        <v>1000</v>
      </c>
      <c r="AA24" s="12">
        <v>1000</v>
      </c>
    </row>
    <row r="25" spans="1:27" x14ac:dyDescent="0.2">
      <c r="A25" t="s">
        <v>196</v>
      </c>
      <c r="B25" s="12">
        <f t="shared" si="2"/>
        <v>1200</v>
      </c>
      <c r="C25" s="12">
        <f t="shared" si="3"/>
        <v>1800</v>
      </c>
      <c r="D25" s="12">
        <v>100</v>
      </c>
      <c r="E25" s="12">
        <v>100</v>
      </c>
      <c r="F25" s="12">
        <v>100</v>
      </c>
      <c r="G25" s="12">
        <v>100</v>
      </c>
      <c r="H25" s="12">
        <v>100</v>
      </c>
      <c r="I25" s="12">
        <v>100</v>
      </c>
      <c r="J25" s="12">
        <v>100</v>
      </c>
      <c r="K25" s="12">
        <v>100</v>
      </c>
      <c r="L25" s="12">
        <v>100</v>
      </c>
      <c r="M25" s="12">
        <v>100</v>
      </c>
      <c r="N25" s="12">
        <v>100</v>
      </c>
      <c r="O25" s="12">
        <v>100</v>
      </c>
      <c r="P25" s="12">
        <v>150</v>
      </c>
      <c r="Q25" s="12">
        <v>150</v>
      </c>
      <c r="R25" s="12">
        <v>150</v>
      </c>
      <c r="S25" s="12">
        <v>150</v>
      </c>
      <c r="T25" s="12">
        <v>150</v>
      </c>
      <c r="U25" s="12">
        <v>150</v>
      </c>
      <c r="V25" s="12">
        <v>150</v>
      </c>
      <c r="W25" s="12">
        <v>150</v>
      </c>
      <c r="X25" s="12">
        <v>150</v>
      </c>
      <c r="Y25" s="12">
        <v>150</v>
      </c>
      <c r="Z25" s="12">
        <v>150</v>
      </c>
      <c r="AA25" s="12">
        <v>150</v>
      </c>
    </row>
    <row r="26" spans="1:27" x14ac:dyDescent="0.2">
      <c r="A26" t="s">
        <v>192</v>
      </c>
      <c r="B26" s="12">
        <f t="shared" si="2"/>
        <v>30000</v>
      </c>
      <c r="C26" s="12">
        <f t="shared" si="3"/>
        <v>30000</v>
      </c>
      <c r="D26" s="12">
        <v>2500</v>
      </c>
      <c r="E26" s="12">
        <v>2500</v>
      </c>
      <c r="F26" s="12">
        <v>2500</v>
      </c>
      <c r="G26" s="12">
        <v>2500</v>
      </c>
      <c r="H26" s="12">
        <v>2500</v>
      </c>
      <c r="I26" s="12">
        <v>2500</v>
      </c>
      <c r="J26" s="12">
        <v>2500</v>
      </c>
      <c r="K26" s="12">
        <v>2500</v>
      </c>
      <c r="L26" s="12">
        <v>2500</v>
      </c>
      <c r="M26" s="12">
        <v>2500</v>
      </c>
      <c r="N26" s="12">
        <v>2500</v>
      </c>
      <c r="O26" s="12">
        <v>2500</v>
      </c>
      <c r="P26" s="12">
        <v>2500</v>
      </c>
      <c r="Q26" s="12">
        <v>2500</v>
      </c>
      <c r="R26" s="12">
        <v>2500</v>
      </c>
      <c r="S26" s="12">
        <v>2500</v>
      </c>
      <c r="T26" s="12">
        <v>2500</v>
      </c>
      <c r="U26" s="12">
        <v>2500</v>
      </c>
      <c r="V26" s="12">
        <v>2500</v>
      </c>
      <c r="W26" s="12">
        <v>2500</v>
      </c>
      <c r="X26" s="12">
        <v>2500</v>
      </c>
      <c r="Y26" s="12">
        <v>2500</v>
      </c>
      <c r="Z26" s="12">
        <v>2500</v>
      </c>
      <c r="AA26" s="12">
        <v>2500</v>
      </c>
    </row>
    <row r="27" spans="1:27" x14ac:dyDescent="0.2">
      <c r="A27" t="s">
        <v>241</v>
      </c>
      <c r="B27" s="12">
        <f t="shared" si="2"/>
        <v>2400</v>
      </c>
      <c r="C27" s="12">
        <f t="shared" si="3"/>
        <v>2400</v>
      </c>
      <c r="D27" s="12">
        <v>200</v>
      </c>
      <c r="E27" s="12">
        <v>200</v>
      </c>
      <c r="F27" s="12">
        <v>200</v>
      </c>
      <c r="G27" s="12">
        <v>200</v>
      </c>
      <c r="H27" s="12">
        <v>200</v>
      </c>
      <c r="I27" s="12">
        <v>200</v>
      </c>
      <c r="J27" s="12">
        <v>200</v>
      </c>
      <c r="K27" s="12">
        <v>200</v>
      </c>
      <c r="L27" s="12">
        <v>200</v>
      </c>
      <c r="M27" s="12">
        <v>200</v>
      </c>
      <c r="N27" s="12">
        <v>200</v>
      </c>
      <c r="O27" s="12">
        <v>200</v>
      </c>
      <c r="P27" s="12">
        <v>200</v>
      </c>
      <c r="Q27" s="12">
        <v>200</v>
      </c>
      <c r="R27" s="12">
        <v>200</v>
      </c>
      <c r="S27" s="12">
        <v>200</v>
      </c>
      <c r="T27" s="12">
        <v>200</v>
      </c>
      <c r="U27" s="12">
        <v>200</v>
      </c>
      <c r="V27" s="12">
        <v>200</v>
      </c>
      <c r="W27" s="12">
        <v>200</v>
      </c>
      <c r="X27" s="12">
        <v>200</v>
      </c>
      <c r="Y27" s="12">
        <v>200</v>
      </c>
      <c r="Z27" s="12">
        <v>200</v>
      </c>
      <c r="AA27" s="12">
        <v>200</v>
      </c>
    </row>
    <row r="28" spans="1:27" x14ac:dyDescent="0.2">
      <c r="A28" t="s">
        <v>194</v>
      </c>
      <c r="B28" s="12">
        <f t="shared" si="2"/>
        <v>3600</v>
      </c>
      <c r="C28" s="12">
        <f t="shared" si="3"/>
        <v>3600</v>
      </c>
      <c r="D28" s="12">
        <v>300</v>
      </c>
      <c r="E28" s="12">
        <v>300</v>
      </c>
      <c r="F28" s="12">
        <v>300</v>
      </c>
      <c r="G28" s="12">
        <v>300</v>
      </c>
      <c r="H28" s="12">
        <v>300</v>
      </c>
      <c r="I28" s="12">
        <v>300</v>
      </c>
      <c r="J28" s="12">
        <v>300</v>
      </c>
      <c r="K28" s="12">
        <v>300</v>
      </c>
      <c r="L28" s="12">
        <v>300</v>
      </c>
      <c r="M28" s="12">
        <v>300</v>
      </c>
      <c r="N28" s="12">
        <v>300</v>
      </c>
      <c r="O28" s="12">
        <v>300</v>
      </c>
      <c r="P28" s="12">
        <v>300</v>
      </c>
      <c r="Q28" s="12">
        <v>300</v>
      </c>
      <c r="R28" s="12">
        <v>300</v>
      </c>
      <c r="S28" s="12">
        <v>300</v>
      </c>
      <c r="T28" s="12">
        <v>300</v>
      </c>
      <c r="U28" s="12">
        <v>300</v>
      </c>
      <c r="V28" s="12">
        <v>300</v>
      </c>
      <c r="W28" s="12">
        <v>300</v>
      </c>
      <c r="X28" s="12">
        <v>300</v>
      </c>
      <c r="Y28" s="12">
        <v>300</v>
      </c>
      <c r="Z28" s="12">
        <v>300</v>
      </c>
      <c r="AA28" s="12">
        <v>300</v>
      </c>
    </row>
    <row r="29" spans="1:27" x14ac:dyDescent="0.2">
      <c r="A29" t="s">
        <v>193</v>
      </c>
      <c r="B29" s="12">
        <f t="shared" si="2"/>
        <v>27500</v>
      </c>
      <c r="C29" s="12">
        <f t="shared" si="3"/>
        <v>39500</v>
      </c>
      <c r="D29" s="12">
        <v>2000</v>
      </c>
      <c r="E29" s="12">
        <v>2000</v>
      </c>
      <c r="F29" s="12">
        <v>2000</v>
      </c>
      <c r="G29" s="12">
        <v>2000</v>
      </c>
      <c r="H29" s="12">
        <v>2000</v>
      </c>
      <c r="I29" s="12">
        <v>2500</v>
      </c>
      <c r="J29" s="12">
        <v>2500</v>
      </c>
      <c r="K29" s="12">
        <v>2500</v>
      </c>
      <c r="L29" s="12">
        <v>2500</v>
      </c>
      <c r="M29" s="12">
        <v>2500</v>
      </c>
      <c r="N29" s="12">
        <v>2500</v>
      </c>
      <c r="O29" s="12">
        <v>2500</v>
      </c>
      <c r="P29" s="12">
        <v>3000</v>
      </c>
      <c r="Q29" s="12">
        <v>3000</v>
      </c>
      <c r="R29" s="12">
        <v>3000</v>
      </c>
      <c r="S29" s="12">
        <v>3000</v>
      </c>
      <c r="T29" s="12">
        <v>3000</v>
      </c>
      <c r="U29" s="12">
        <v>3500</v>
      </c>
      <c r="V29" s="12">
        <v>3500</v>
      </c>
      <c r="W29" s="12">
        <v>3500</v>
      </c>
      <c r="X29" s="12">
        <v>3500</v>
      </c>
      <c r="Y29" s="12">
        <v>3500</v>
      </c>
      <c r="Z29" s="12">
        <v>3500</v>
      </c>
      <c r="AA29" s="12">
        <v>3500</v>
      </c>
    </row>
    <row r="30" spans="1:27" x14ac:dyDescent="0.2">
      <c r="A30" t="s">
        <v>240</v>
      </c>
      <c r="B30" s="12">
        <f t="shared" si="2"/>
        <v>6000</v>
      </c>
      <c r="C30" s="12">
        <f t="shared" si="3"/>
        <v>6000</v>
      </c>
      <c r="D30" s="12">
        <v>500</v>
      </c>
      <c r="E30" s="12">
        <v>500</v>
      </c>
      <c r="F30" s="12">
        <v>500</v>
      </c>
      <c r="G30" s="12">
        <v>500</v>
      </c>
      <c r="H30" s="12">
        <v>500</v>
      </c>
      <c r="I30" s="12">
        <v>500</v>
      </c>
      <c r="J30" s="12">
        <v>500</v>
      </c>
      <c r="K30" s="12">
        <v>500</v>
      </c>
      <c r="L30" s="12">
        <v>500</v>
      </c>
      <c r="M30" s="12">
        <v>500</v>
      </c>
      <c r="N30" s="12">
        <v>500</v>
      </c>
      <c r="O30" s="12">
        <v>500</v>
      </c>
      <c r="P30" s="12">
        <v>500</v>
      </c>
      <c r="Q30" s="12">
        <v>500</v>
      </c>
      <c r="R30" s="12">
        <v>500</v>
      </c>
      <c r="S30" s="12">
        <v>500</v>
      </c>
      <c r="T30" s="12">
        <v>500</v>
      </c>
      <c r="U30" s="12">
        <v>500</v>
      </c>
      <c r="V30" s="12">
        <v>500</v>
      </c>
      <c r="W30" s="12">
        <v>500</v>
      </c>
      <c r="X30" s="12">
        <v>500</v>
      </c>
      <c r="Y30" s="12">
        <v>500</v>
      </c>
      <c r="Z30" s="12">
        <v>500</v>
      </c>
      <c r="AA30" s="12">
        <v>500</v>
      </c>
    </row>
    <row r="31" spans="1:27" x14ac:dyDescent="0.2">
      <c r="A31" t="s">
        <v>304</v>
      </c>
      <c r="B31" s="12">
        <f>SUM(D31:O31)</f>
        <v>541499.99999999988</v>
      </c>
      <c r="C31" s="12">
        <f>SUM(P31:AA31)</f>
        <v>706900</v>
      </c>
      <c r="D31" s="12">
        <f>'Headcount Yr1-2'!K18</f>
        <v>31708.333333333336</v>
      </c>
      <c r="E31" s="12">
        <f>'Headcount Yr1-2'!L18</f>
        <v>31708.333333333336</v>
      </c>
      <c r="F31" s="12">
        <f>'Headcount Yr1-2'!M18</f>
        <v>31708.333333333336</v>
      </c>
      <c r="G31" s="12">
        <f>'Headcount Yr1-2'!N18</f>
        <v>31708.333333333336</v>
      </c>
      <c r="H31" s="12">
        <f>'Headcount Yr1-2'!O18</f>
        <v>31708.333333333336</v>
      </c>
      <c r="I31" s="12">
        <f>'Headcount Yr1-2'!P18</f>
        <v>54708.333333333328</v>
      </c>
      <c r="J31" s="12">
        <f>'Headcount Yr1-2'!Q18</f>
        <v>54708.333333333328</v>
      </c>
      <c r="K31" s="12">
        <f>'Headcount Yr1-2'!R18</f>
        <v>54708.333333333328</v>
      </c>
      <c r="L31" s="12">
        <f>'Headcount Yr1-2'!S18</f>
        <v>54708.333333333328</v>
      </c>
      <c r="M31" s="12">
        <f>'Headcount Yr1-2'!T18</f>
        <v>54708.333333333328</v>
      </c>
      <c r="N31" s="12">
        <f>'Headcount Yr1-2'!U18</f>
        <v>54708.333333333328</v>
      </c>
      <c r="O31" s="12">
        <f>'Headcount Yr1-2'!V18</f>
        <v>54708.333333333328</v>
      </c>
      <c r="P31" s="12">
        <f>'Headcount Yr1-2'!W18</f>
        <v>58908.333333333328</v>
      </c>
      <c r="Q31" s="12">
        <f>'Headcount Yr1-2'!X18</f>
        <v>58908.333333333328</v>
      </c>
      <c r="R31" s="12">
        <f>'Headcount Yr1-2'!Y18</f>
        <v>58908.333333333328</v>
      </c>
      <c r="S31" s="12">
        <f>'Headcount Yr1-2'!Z18</f>
        <v>58908.333333333328</v>
      </c>
      <c r="T31" s="12">
        <f>'Headcount Yr1-2'!AA18</f>
        <v>58908.333333333328</v>
      </c>
      <c r="U31" s="12">
        <f>'Headcount Yr1-2'!AB18</f>
        <v>58908.333333333328</v>
      </c>
      <c r="V31" s="12">
        <f>'Headcount Yr1-2'!AC18</f>
        <v>58908.333333333328</v>
      </c>
      <c r="W31" s="12">
        <f>'Headcount Yr1-2'!AD18</f>
        <v>58908.333333333328</v>
      </c>
      <c r="X31" s="12">
        <f>'Headcount Yr1-2'!AE18</f>
        <v>58908.333333333328</v>
      </c>
      <c r="Y31" s="12">
        <f>'Headcount Yr1-2'!AF18</f>
        <v>58908.333333333328</v>
      </c>
      <c r="Z31" s="12">
        <f>'Headcount Yr1-2'!AG18</f>
        <v>58908.333333333328</v>
      </c>
      <c r="AA31" s="12">
        <f>'Headcount Yr1-2'!AH18</f>
        <v>58908.333333333328</v>
      </c>
    </row>
    <row r="32" spans="1:27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s="15" customFormat="1" x14ac:dyDescent="0.2">
      <c r="A34" s="15" t="s">
        <v>153</v>
      </c>
      <c r="B34" s="8">
        <f>SUM(D34:O34)</f>
        <v>673900</v>
      </c>
      <c r="C34" s="8">
        <f>SUM(P34:AA34)</f>
        <v>864600.00000000012</v>
      </c>
      <c r="D34" s="8">
        <f>SUM(D17:D33)</f>
        <v>42158.333333333336</v>
      </c>
      <c r="E34" s="8">
        <f>SUM(E17:E33)</f>
        <v>42158.333333333336</v>
      </c>
      <c r="F34" s="8">
        <f>SUM(F17:F33)</f>
        <v>42158.333333333336</v>
      </c>
      <c r="G34" s="8">
        <f>SUM(G17:G33)</f>
        <v>42158.333333333336</v>
      </c>
      <c r="H34" s="8">
        <f>SUM(H18:H31)</f>
        <v>42158.333333333336</v>
      </c>
      <c r="I34" s="8">
        <f t="shared" ref="I34:AA34" si="4">SUM(I18:I31)</f>
        <v>66158.333333333328</v>
      </c>
      <c r="J34" s="8">
        <f t="shared" si="4"/>
        <v>66158.333333333328</v>
      </c>
      <c r="K34" s="8">
        <f t="shared" si="4"/>
        <v>66158.333333333328</v>
      </c>
      <c r="L34" s="8">
        <f t="shared" si="4"/>
        <v>66158.333333333328</v>
      </c>
      <c r="M34" s="8">
        <f t="shared" si="4"/>
        <v>66158.333333333328</v>
      </c>
      <c r="N34" s="8">
        <f t="shared" si="4"/>
        <v>66158.333333333328</v>
      </c>
      <c r="O34" s="8">
        <f t="shared" si="4"/>
        <v>66158.333333333328</v>
      </c>
      <c r="P34" s="8">
        <f t="shared" si="4"/>
        <v>71758.333333333328</v>
      </c>
      <c r="Q34" s="8">
        <f t="shared" si="4"/>
        <v>71758.333333333328</v>
      </c>
      <c r="R34" s="8">
        <f t="shared" si="4"/>
        <v>71758.333333333328</v>
      </c>
      <c r="S34" s="8">
        <f t="shared" si="4"/>
        <v>71758.333333333328</v>
      </c>
      <c r="T34" s="8">
        <f t="shared" si="4"/>
        <v>71758.333333333328</v>
      </c>
      <c r="U34" s="8">
        <f t="shared" si="4"/>
        <v>72258.333333333328</v>
      </c>
      <c r="V34" s="8">
        <f t="shared" si="4"/>
        <v>72258.333333333328</v>
      </c>
      <c r="W34" s="8">
        <f t="shared" si="4"/>
        <v>72258.333333333328</v>
      </c>
      <c r="X34" s="8">
        <f t="shared" si="4"/>
        <v>72258.333333333328</v>
      </c>
      <c r="Y34" s="8">
        <f t="shared" si="4"/>
        <v>72258.333333333328</v>
      </c>
      <c r="Z34" s="8">
        <f t="shared" si="4"/>
        <v>72258.333333333328</v>
      </c>
      <c r="AA34" s="8">
        <f t="shared" si="4"/>
        <v>72258.333333333328</v>
      </c>
    </row>
    <row r="35" spans="1:27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5A2A-E912-E44B-861A-76C8E041D686}">
  <dimension ref="A1:AH18"/>
  <sheetViews>
    <sheetView workbookViewId="0">
      <selection activeCell="F27" sqref="F27"/>
    </sheetView>
  </sheetViews>
  <sheetFormatPr baseColWidth="10" defaultRowHeight="16" x14ac:dyDescent="0.2"/>
  <cols>
    <col min="1" max="1" width="20.1640625" bestFit="1" customWidth="1"/>
    <col min="2" max="2" width="23" customWidth="1"/>
    <col min="3" max="3" width="12.6640625" style="3" bestFit="1" customWidth="1"/>
    <col min="4" max="5" width="10.83203125" style="3" bestFit="1" customWidth="1"/>
    <col min="6" max="6" width="8.6640625" style="3" customWidth="1"/>
    <col min="7" max="7" width="10.5" style="3" customWidth="1"/>
    <col min="8" max="8" width="9.33203125" style="3" bestFit="1" customWidth="1"/>
    <col min="9" max="10" width="10.5" style="3" customWidth="1"/>
    <col min="11" max="11" width="8.83203125" style="3" customWidth="1"/>
    <col min="12" max="12" width="8.33203125" style="3" bestFit="1" customWidth="1"/>
    <col min="13" max="25" width="8.83203125" style="3" customWidth="1"/>
    <col min="26" max="34" width="9.33203125" style="3" bestFit="1" customWidth="1"/>
  </cols>
  <sheetData>
    <row r="1" spans="1:34" x14ac:dyDescent="0.2">
      <c r="D1" s="2">
        <v>2024</v>
      </c>
      <c r="E1" s="2">
        <v>2025</v>
      </c>
      <c r="G1" s="2">
        <v>2024</v>
      </c>
      <c r="H1" s="2">
        <v>2025</v>
      </c>
      <c r="I1" s="2">
        <v>2024</v>
      </c>
      <c r="J1" s="2">
        <v>2025</v>
      </c>
      <c r="K1" s="6">
        <f>' Inputs'!B3</f>
        <v>45292</v>
      </c>
      <c r="L1" s="6">
        <f>K1+31</f>
        <v>45323</v>
      </c>
      <c r="M1" s="6">
        <f t="shared" ref="M1:AH1" si="0">L1+31</f>
        <v>45354</v>
      </c>
      <c r="N1" s="6">
        <f t="shared" si="0"/>
        <v>45385</v>
      </c>
      <c r="O1" s="6">
        <f t="shared" si="0"/>
        <v>45416</v>
      </c>
      <c r="P1" s="6">
        <f t="shared" si="0"/>
        <v>45447</v>
      </c>
      <c r="Q1" s="6">
        <f t="shared" si="0"/>
        <v>45478</v>
      </c>
      <c r="R1" s="6">
        <f t="shared" si="0"/>
        <v>45509</v>
      </c>
      <c r="S1" s="6">
        <f t="shared" si="0"/>
        <v>45540</v>
      </c>
      <c r="T1" s="6">
        <f t="shared" si="0"/>
        <v>45571</v>
      </c>
      <c r="U1" s="6">
        <f t="shared" si="0"/>
        <v>45602</v>
      </c>
      <c r="V1" s="6">
        <f t="shared" si="0"/>
        <v>45633</v>
      </c>
      <c r="W1" s="6">
        <f t="shared" si="0"/>
        <v>45664</v>
      </c>
      <c r="X1" s="6">
        <f t="shared" si="0"/>
        <v>45695</v>
      </c>
      <c r="Y1" s="6">
        <f t="shared" si="0"/>
        <v>45726</v>
      </c>
      <c r="Z1" s="6">
        <f t="shared" si="0"/>
        <v>45757</v>
      </c>
      <c r="AA1" s="6">
        <f t="shared" si="0"/>
        <v>45788</v>
      </c>
      <c r="AB1" s="6">
        <f t="shared" si="0"/>
        <v>45819</v>
      </c>
      <c r="AC1" s="6">
        <f t="shared" si="0"/>
        <v>45850</v>
      </c>
      <c r="AD1" s="6">
        <f t="shared" si="0"/>
        <v>45881</v>
      </c>
      <c r="AE1" s="6">
        <f t="shared" si="0"/>
        <v>45912</v>
      </c>
      <c r="AF1" s="6">
        <f t="shared" si="0"/>
        <v>45943</v>
      </c>
      <c r="AG1" s="6">
        <f t="shared" si="0"/>
        <v>45974</v>
      </c>
      <c r="AH1" s="6">
        <f t="shared" si="0"/>
        <v>46005</v>
      </c>
    </row>
    <row r="2" spans="1:34" x14ac:dyDescent="0.2">
      <c r="A2" s="85" t="s">
        <v>90</v>
      </c>
      <c r="B2" s="85" t="s">
        <v>170</v>
      </c>
      <c r="C2" s="87" t="s">
        <v>171</v>
      </c>
      <c r="D2" s="87" t="s">
        <v>239</v>
      </c>
      <c r="E2" s="87" t="s">
        <v>239</v>
      </c>
      <c r="F2" s="87" t="s">
        <v>172</v>
      </c>
      <c r="G2" s="87" t="s">
        <v>173</v>
      </c>
      <c r="H2" s="87" t="s">
        <v>173</v>
      </c>
      <c r="I2" s="2" t="s">
        <v>0</v>
      </c>
      <c r="J2" s="2" t="s">
        <v>1</v>
      </c>
      <c r="K2" s="2" t="str">
        <f xml:space="preserve"> CONCATENATE("Month ", K3)</f>
        <v>Month 1</v>
      </c>
      <c r="L2" s="2" t="str">
        <f t="shared" ref="L2:AH2" si="1" xml:space="preserve"> CONCATENATE("Month ", L3)</f>
        <v>Month 2</v>
      </c>
      <c r="M2" s="2" t="str">
        <f t="shared" si="1"/>
        <v>Month 3</v>
      </c>
      <c r="N2" s="2" t="str">
        <f t="shared" si="1"/>
        <v>Month 4</v>
      </c>
      <c r="O2" s="2" t="str">
        <f t="shared" si="1"/>
        <v>Month 5</v>
      </c>
      <c r="P2" s="2" t="str">
        <f t="shared" si="1"/>
        <v>Month 6</v>
      </c>
      <c r="Q2" s="2" t="str">
        <f t="shared" si="1"/>
        <v>Month 7</v>
      </c>
      <c r="R2" s="2" t="str">
        <f t="shared" si="1"/>
        <v>Month 8</v>
      </c>
      <c r="S2" s="2" t="str">
        <f t="shared" si="1"/>
        <v>Month 9</v>
      </c>
      <c r="T2" s="2" t="str">
        <f t="shared" si="1"/>
        <v>Month 10</v>
      </c>
      <c r="U2" s="2" t="str">
        <f t="shared" si="1"/>
        <v>Month 11</v>
      </c>
      <c r="V2" s="2" t="str">
        <f t="shared" si="1"/>
        <v>Month 12</v>
      </c>
      <c r="W2" s="2" t="str">
        <f t="shared" si="1"/>
        <v>Month 13</v>
      </c>
      <c r="X2" s="2" t="str">
        <f t="shared" si="1"/>
        <v>Month 14</v>
      </c>
      <c r="Y2" s="2" t="str">
        <f t="shared" si="1"/>
        <v>Month 15</v>
      </c>
      <c r="Z2" s="2" t="str">
        <f t="shared" si="1"/>
        <v>Month 16</v>
      </c>
      <c r="AA2" s="2" t="str">
        <f t="shared" si="1"/>
        <v>Month 17</v>
      </c>
      <c r="AB2" s="2" t="str">
        <f t="shared" si="1"/>
        <v>Month 18</v>
      </c>
      <c r="AC2" s="2" t="str">
        <f t="shared" si="1"/>
        <v>Month 19</v>
      </c>
      <c r="AD2" s="2" t="str">
        <f t="shared" si="1"/>
        <v>Month 20</v>
      </c>
      <c r="AE2" s="2" t="str">
        <f t="shared" si="1"/>
        <v>Month 21</v>
      </c>
      <c r="AF2" s="2" t="str">
        <f t="shared" si="1"/>
        <v>Month 22</v>
      </c>
      <c r="AG2" s="2" t="str">
        <f t="shared" si="1"/>
        <v>Month 23</v>
      </c>
      <c r="AH2" s="2" t="str">
        <f t="shared" si="1"/>
        <v>Month 24</v>
      </c>
    </row>
    <row r="3" spans="1:34" hidden="1" x14ac:dyDescent="0.2">
      <c r="A3" s="86"/>
      <c r="B3" s="86"/>
      <c r="C3" s="88"/>
      <c r="D3" s="88"/>
      <c r="E3" s="88"/>
      <c r="F3" s="88"/>
      <c r="G3" s="88"/>
      <c r="H3" s="88"/>
      <c r="K3" s="3">
        <v>1</v>
      </c>
      <c r="L3" s="3">
        <v>2</v>
      </c>
      <c r="M3" s="3">
        <v>3</v>
      </c>
      <c r="N3" s="3">
        <v>4</v>
      </c>
      <c r="O3" s="3">
        <v>5</v>
      </c>
      <c r="P3" s="3">
        <v>6</v>
      </c>
      <c r="Q3" s="3">
        <v>7</v>
      </c>
      <c r="R3" s="3">
        <v>8</v>
      </c>
      <c r="S3" s="3">
        <v>9</v>
      </c>
      <c r="T3" s="3">
        <v>10</v>
      </c>
      <c r="U3" s="3">
        <v>11</v>
      </c>
      <c r="V3" s="3">
        <v>12</v>
      </c>
      <c r="W3" s="3">
        <v>13</v>
      </c>
      <c r="X3" s="3">
        <v>14</v>
      </c>
      <c r="Y3" s="3">
        <v>15</v>
      </c>
      <c r="Z3" s="3">
        <v>16</v>
      </c>
      <c r="AA3" s="3">
        <v>17</v>
      </c>
      <c r="AB3" s="3">
        <v>18</v>
      </c>
      <c r="AC3" s="3">
        <v>19</v>
      </c>
      <c r="AD3" s="3">
        <v>20</v>
      </c>
      <c r="AE3" s="3">
        <v>21</v>
      </c>
      <c r="AF3" s="3">
        <v>22</v>
      </c>
      <c r="AG3" s="3">
        <v>23</v>
      </c>
      <c r="AH3" s="3">
        <v>24</v>
      </c>
    </row>
    <row r="4" spans="1:34" x14ac:dyDescent="0.2">
      <c r="A4" s="86" t="s">
        <v>145</v>
      </c>
      <c r="B4" s="86" t="s">
        <v>180</v>
      </c>
      <c r="C4" s="88" t="s">
        <v>179</v>
      </c>
      <c r="D4" s="89">
        <v>65000</v>
      </c>
      <c r="E4" s="89">
        <v>70000</v>
      </c>
      <c r="F4" s="90">
        <v>0.2</v>
      </c>
      <c r="G4" s="89">
        <f>D4*(1+F4)/12</f>
        <v>6500</v>
      </c>
      <c r="H4" s="89">
        <f>E4*(1+F4)/12</f>
        <v>7000</v>
      </c>
      <c r="I4" s="89">
        <f>SUM(K4:V4)</f>
        <v>78000</v>
      </c>
      <c r="J4" s="89">
        <f>SUM(W4:AH4)</f>
        <v>84000</v>
      </c>
      <c r="K4" s="5">
        <f>$G4</f>
        <v>6500</v>
      </c>
      <c r="L4" s="5">
        <f t="shared" ref="L4:V6" si="2">$G4</f>
        <v>6500</v>
      </c>
      <c r="M4" s="5">
        <f t="shared" si="2"/>
        <v>6500</v>
      </c>
      <c r="N4" s="5">
        <f t="shared" si="2"/>
        <v>6500</v>
      </c>
      <c r="O4" s="5">
        <f t="shared" si="2"/>
        <v>6500</v>
      </c>
      <c r="P4" s="5">
        <f t="shared" si="2"/>
        <v>6500</v>
      </c>
      <c r="Q4" s="5">
        <f t="shared" si="2"/>
        <v>6500</v>
      </c>
      <c r="R4" s="5">
        <f t="shared" si="2"/>
        <v>6500</v>
      </c>
      <c r="S4" s="5">
        <f t="shared" si="2"/>
        <v>6500</v>
      </c>
      <c r="T4" s="5">
        <f t="shared" si="2"/>
        <v>6500</v>
      </c>
      <c r="U4" s="5">
        <f t="shared" si="2"/>
        <v>6500</v>
      </c>
      <c r="V4" s="5">
        <f t="shared" si="2"/>
        <v>6500</v>
      </c>
      <c r="W4" s="5">
        <f>$H4</f>
        <v>7000</v>
      </c>
      <c r="X4" s="5">
        <f t="shared" ref="X4:AH4" si="3">$H4</f>
        <v>7000</v>
      </c>
      <c r="Y4" s="5">
        <f t="shared" si="3"/>
        <v>7000</v>
      </c>
      <c r="Z4" s="5">
        <f t="shared" si="3"/>
        <v>7000</v>
      </c>
      <c r="AA4" s="5">
        <f t="shared" si="3"/>
        <v>7000</v>
      </c>
      <c r="AB4" s="5">
        <f t="shared" si="3"/>
        <v>7000</v>
      </c>
      <c r="AC4" s="5">
        <f t="shared" si="3"/>
        <v>7000</v>
      </c>
      <c r="AD4" s="5">
        <f t="shared" si="3"/>
        <v>7000</v>
      </c>
      <c r="AE4" s="5">
        <f t="shared" si="3"/>
        <v>7000</v>
      </c>
      <c r="AF4" s="5">
        <f t="shared" si="3"/>
        <v>7000</v>
      </c>
      <c r="AG4" s="5">
        <f t="shared" si="3"/>
        <v>7000</v>
      </c>
      <c r="AH4" s="5">
        <f t="shared" si="3"/>
        <v>7000</v>
      </c>
    </row>
    <row r="5" spans="1:34" x14ac:dyDescent="0.2">
      <c r="A5" s="86" t="s">
        <v>145</v>
      </c>
      <c r="B5" s="86" t="s">
        <v>178</v>
      </c>
      <c r="C5" s="88" t="s">
        <v>181</v>
      </c>
      <c r="D5" s="89">
        <v>60000</v>
      </c>
      <c r="E5" s="89">
        <v>60000</v>
      </c>
      <c r="F5" s="90">
        <v>0.2</v>
      </c>
      <c r="G5" s="89">
        <f>D5*(1+F5)/12</f>
        <v>6000</v>
      </c>
      <c r="H5" s="89">
        <f t="shared" ref="H5:H16" si="4">E5*(1+F5)/12</f>
        <v>6000</v>
      </c>
      <c r="I5" s="89">
        <f t="shared" ref="I5" si="5">SUM(K5:V5)</f>
        <v>42000</v>
      </c>
      <c r="J5" s="89">
        <f t="shared" ref="J5" si="6">SUM(W5:AH5)</f>
        <v>72000</v>
      </c>
      <c r="K5" s="5"/>
      <c r="L5" s="5"/>
      <c r="M5" s="5"/>
      <c r="N5" s="5"/>
      <c r="O5" s="5"/>
      <c r="P5" s="5">
        <f t="shared" si="2"/>
        <v>6000</v>
      </c>
      <c r="Q5" s="5">
        <f t="shared" si="2"/>
        <v>6000</v>
      </c>
      <c r="R5" s="5">
        <f t="shared" si="2"/>
        <v>6000</v>
      </c>
      <c r="S5" s="5">
        <f>$G5</f>
        <v>6000</v>
      </c>
      <c r="T5" s="5">
        <f t="shared" ref="T5:V5" si="7">$G5</f>
        <v>6000</v>
      </c>
      <c r="U5" s="5">
        <f t="shared" si="7"/>
        <v>6000</v>
      </c>
      <c r="V5" s="5">
        <f t="shared" si="7"/>
        <v>6000</v>
      </c>
      <c r="W5" s="5">
        <f t="shared" ref="W5:AH16" si="8">$H5</f>
        <v>6000</v>
      </c>
      <c r="X5" s="5">
        <f t="shared" si="8"/>
        <v>6000</v>
      </c>
      <c r="Y5" s="5">
        <f t="shared" si="8"/>
        <v>6000</v>
      </c>
      <c r="Z5" s="5">
        <f t="shared" si="8"/>
        <v>6000</v>
      </c>
      <c r="AA5" s="5">
        <f t="shared" si="8"/>
        <v>6000</v>
      </c>
      <c r="AB5" s="5">
        <f t="shared" si="8"/>
        <v>6000</v>
      </c>
      <c r="AC5" s="5">
        <f t="shared" si="8"/>
        <v>6000</v>
      </c>
      <c r="AD5" s="5">
        <f t="shared" si="8"/>
        <v>6000</v>
      </c>
      <c r="AE5" s="5">
        <f t="shared" si="8"/>
        <v>6000</v>
      </c>
      <c r="AF5" s="5">
        <f t="shared" si="8"/>
        <v>6000</v>
      </c>
      <c r="AG5" s="5">
        <f t="shared" si="8"/>
        <v>6000</v>
      </c>
      <c r="AH5" s="5">
        <f t="shared" si="8"/>
        <v>6000</v>
      </c>
    </row>
    <row r="6" spans="1:34" x14ac:dyDescent="0.2">
      <c r="A6" s="86" t="s">
        <v>145</v>
      </c>
      <c r="B6" s="86" t="s">
        <v>178</v>
      </c>
      <c r="C6" s="88" t="s">
        <v>181</v>
      </c>
      <c r="D6" s="89">
        <v>60000</v>
      </c>
      <c r="E6" s="89">
        <v>60000</v>
      </c>
      <c r="F6" s="90">
        <v>0.2</v>
      </c>
      <c r="G6" s="89">
        <f>D6*(1+F6)/12</f>
        <v>6000</v>
      </c>
      <c r="H6" s="89">
        <f t="shared" si="4"/>
        <v>6000</v>
      </c>
      <c r="I6" s="89">
        <f>SUM(K6:V6)</f>
        <v>42000</v>
      </c>
      <c r="J6" s="89">
        <f>SUM(W6:AH6)</f>
        <v>72000</v>
      </c>
      <c r="K6" s="5"/>
      <c r="L6" s="5"/>
      <c r="M6" s="5"/>
      <c r="N6" s="5"/>
      <c r="O6" s="5"/>
      <c r="P6" s="5">
        <f t="shared" si="2"/>
        <v>6000</v>
      </c>
      <c r="Q6" s="5">
        <f t="shared" si="2"/>
        <v>6000</v>
      </c>
      <c r="R6" s="5">
        <f t="shared" si="2"/>
        <v>6000</v>
      </c>
      <c r="S6" s="5">
        <f>$G6</f>
        <v>6000</v>
      </c>
      <c r="T6" s="5">
        <f t="shared" si="2"/>
        <v>6000</v>
      </c>
      <c r="U6" s="5">
        <f t="shared" si="2"/>
        <v>6000</v>
      </c>
      <c r="V6" s="5">
        <f t="shared" si="2"/>
        <v>6000</v>
      </c>
      <c r="W6" s="5">
        <f t="shared" si="8"/>
        <v>6000</v>
      </c>
      <c r="X6" s="5">
        <f t="shared" si="8"/>
        <v>6000</v>
      </c>
      <c r="Y6" s="5">
        <f t="shared" si="8"/>
        <v>6000</v>
      </c>
      <c r="Z6" s="5">
        <f t="shared" si="8"/>
        <v>6000</v>
      </c>
      <c r="AA6" s="5">
        <f t="shared" si="8"/>
        <v>6000</v>
      </c>
      <c r="AB6" s="5">
        <f t="shared" si="8"/>
        <v>6000</v>
      </c>
      <c r="AC6" s="5">
        <f t="shared" si="8"/>
        <v>6000</v>
      </c>
      <c r="AD6" s="5">
        <f t="shared" si="8"/>
        <v>6000</v>
      </c>
      <c r="AE6" s="5">
        <f t="shared" si="8"/>
        <v>6000</v>
      </c>
      <c r="AF6" s="5">
        <f t="shared" si="8"/>
        <v>6000</v>
      </c>
      <c r="AG6" s="5">
        <f t="shared" si="8"/>
        <v>6000</v>
      </c>
      <c r="AH6" s="5">
        <f t="shared" si="8"/>
        <v>6000</v>
      </c>
    </row>
    <row r="7" spans="1:34" x14ac:dyDescent="0.2">
      <c r="A7" s="86" t="s">
        <v>145</v>
      </c>
      <c r="B7" s="86" t="s">
        <v>230</v>
      </c>
      <c r="C7" s="88" t="s">
        <v>175</v>
      </c>
      <c r="D7" s="89">
        <v>18000</v>
      </c>
      <c r="E7" s="89">
        <v>20000</v>
      </c>
      <c r="F7" s="90">
        <v>0.1</v>
      </c>
      <c r="G7" s="89">
        <f>D7*(1+F7)/12</f>
        <v>1650</v>
      </c>
      <c r="H7" s="89">
        <f t="shared" si="4"/>
        <v>1833.3333333333333</v>
      </c>
      <c r="I7" s="89">
        <f>SUM(K7:V7)</f>
        <v>19800</v>
      </c>
      <c r="J7" s="89">
        <f>SUM(W7:AH7)</f>
        <v>21999.999999999996</v>
      </c>
      <c r="K7" s="5">
        <f>$G7</f>
        <v>1650</v>
      </c>
      <c r="L7" s="5">
        <f t="shared" ref="L7:V12" si="9">$G7</f>
        <v>1650</v>
      </c>
      <c r="M7" s="5">
        <f t="shared" si="9"/>
        <v>1650</v>
      </c>
      <c r="N7" s="5">
        <f t="shared" si="9"/>
        <v>1650</v>
      </c>
      <c r="O7" s="5">
        <f t="shared" si="9"/>
        <v>1650</v>
      </c>
      <c r="P7" s="5">
        <f t="shared" si="9"/>
        <v>1650</v>
      </c>
      <c r="Q7" s="5">
        <f t="shared" si="9"/>
        <v>1650</v>
      </c>
      <c r="R7" s="5">
        <f t="shared" si="9"/>
        <v>1650</v>
      </c>
      <c r="S7" s="5">
        <f t="shared" si="9"/>
        <v>1650</v>
      </c>
      <c r="T7" s="5">
        <f t="shared" si="9"/>
        <v>1650</v>
      </c>
      <c r="U7" s="5">
        <f t="shared" si="9"/>
        <v>1650</v>
      </c>
      <c r="V7" s="5">
        <f t="shared" si="9"/>
        <v>1650</v>
      </c>
      <c r="W7" s="5">
        <f t="shared" si="8"/>
        <v>1833.3333333333333</v>
      </c>
      <c r="X7" s="5">
        <f t="shared" si="8"/>
        <v>1833.3333333333333</v>
      </c>
      <c r="Y7" s="5">
        <f t="shared" si="8"/>
        <v>1833.3333333333333</v>
      </c>
      <c r="Z7" s="5">
        <f t="shared" si="8"/>
        <v>1833.3333333333333</v>
      </c>
      <c r="AA7" s="5">
        <f t="shared" si="8"/>
        <v>1833.3333333333333</v>
      </c>
      <c r="AB7" s="5">
        <f t="shared" si="8"/>
        <v>1833.3333333333333</v>
      </c>
      <c r="AC7" s="5">
        <f t="shared" si="8"/>
        <v>1833.3333333333333</v>
      </c>
      <c r="AD7" s="5">
        <f t="shared" si="8"/>
        <v>1833.3333333333333</v>
      </c>
      <c r="AE7" s="5">
        <f t="shared" si="8"/>
        <v>1833.3333333333333</v>
      </c>
      <c r="AF7" s="5">
        <f t="shared" si="8"/>
        <v>1833.3333333333333</v>
      </c>
      <c r="AG7" s="5">
        <f t="shared" si="8"/>
        <v>1833.3333333333333</v>
      </c>
      <c r="AH7" s="5">
        <f t="shared" si="8"/>
        <v>1833.3333333333333</v>
      </c>
    </row>
    <row r="8" spans="1:34" x14ac:dyDescent="0.2">
      <c r="A8" s="86" t="s">
        <v>145</v>
      </c>
      <c r="B8" s="86" t="s">
        <v>174</v>
      </c>
      <c r="C8" s="88" t="s">
        <v>176</v>
      </c>
      <c r="D8" s="89">
        <v>12000</v>
      </c>
      <c r="E8" s="89">
        <v>15000</v>
      </c>
      <c r="F8" s="90">
        <v>0.1</v>
      </c>
      <c r="G8" s="89">
        <f>D8*(1+F8)/12</f>
        <v>1100.0000000000002</v>
      </c>
      <c r="H8" s="89">
        <f t="shared" si="4"/>
        <v>1375</v>
      </c>
      <c r="I8" s="89">
        <f>SUM(K8:V8)</f>
        <v>13200.000000000002</v>
      </c>
      <c r="J8" s="89">
        <f>SUM(W8:AH8)</f>
        <v>16500</v>
      </c>
      <c r="K8" s="5">
        <f>$G8</f>
        <v>1100.0000000000002</v>
      </c>
      <c r="L8" s="5">
        <f t="shared" si="9"/>
        <v>1100.0000000000002</v>
      </c>
      <c r="M8" s="5">
        <f t="shared" si="9"/>
        <v>1100.0000000000002</v>
      </c>
      <c r="N8" s="5">
        <f t="shared" si="9"/>
        <v>1100.0000000000002</v>
      </c>
      <c r="O8" s="5">
        <f t="shared" si="9"/>
        <v>1100.0000000000002</v>
      </c>
      <c r="P8" s="5">
        <f t="shared" si="9"/>
        <v>1100.0000000000002</v>
      </c>
      <c r="Q8" s="5">
        <f t="shared" si="9"/>
        <v>1100.0000000000002</v>
      </c>
      <c r="R8" s="5">
        <f t="shared" si="9"/>
        <v>1100.0000000000002</v>
      </c>
      <c r="S8" s="5">
        <f t="shared" si="9"/>
        <v>1100.0000000000002</v>
      </c>
      <c r="T8" s="5">
        <f t="shared" si="9"/>
        <v>1100.0000000000002</v>
      </c>
      <c r="U8" s="5">
        <f t="shared" si="9"/>
        <v>1100.0000000000002</v>
      </c>
      <c r="V8" s="5">
        <f t="shared" si="9"/>
        <v>1100.0000000000002</v>
      </c>
      <c r="W8" s="5">
        <f t="shared" si="8"/>
        <v>1375</v>
      </c>
      <c r="X8" s="5">
        <f t="shared" si="8"/>
        <v>1375</v>
      </c>
      <c r="Y8" s="5">
        <f t="shared" si="8"/>
        <v>1375</v>
      </c>
      <c r="Z8" s="5">
        <f t="shared" si="8"/>
        <v>1375</v>
      </c>
      <c r="AA8" s="5">
        <f t="shared" si="8"/>
        <v>1375</v>
      </c>
      <c r="AB8" s="5">
        <f t="shared" si="8"/>
        <v>1375</v>
      </c>
      <c r="AC8" s="5">
        <f t="shared" si="8"/>
        <v>1375</v>
      </c>
      <c r="AD8" s="5">
        <f t="shared" si="8"/>
        <v>1375</v>
      </c>
      <c r="AE8" s="5">
        <f t="shared" si="8"/>
        <v>1375</v>
      </c>
      <c r="AF8" s="5">
        <f t="shared" si="8"/>
        <v>1375</v>
      </c>
      <c r="AG8" s="5">
        <f t="shared" si="8"/>
        <v>1375</v>
      </c>
      <c r="AH8" s="5">
        <f t="shared" si="8"/>
        <v>1375</v>
      </c>
    </row>
    <row r="9" spans="1:34" x14ac:dyDescent="0.2">
      <c r="A9" s="86" t="s">
        <v>145</v>
      </c>
      <c r="B9" s="86" t="s">
        <v>174</v>
      </c>
      <c r="C9" s="3" t="s">
        <v>231</v>
      </c>
      <c r="D9" s="89">
        <v>10000</v>
      </c>
      <c r="E9" s="89">
        <v>12000</v>
      </c>
      <c r="F9" s="90">
        <v>0.1</v>
      </c>
      <c r="G9" s="89">
        <f t="shared" ref="G9" si="10">D9*(1+F9)/12</f>
        <v>916.66666666666663</v>
      </c>
      <c r="H9" s="89">
        <f t="shared" si="4"/>
        <v>1100.0000000000002</v>
      </c>
      <c r="I9" s="89">
        <f t="shared" ref="I9" si="11">SUM(K9:V9)</f>
        <v>10999.999999999998</v>
      </c>
      <c r="J9" s="89">
        <f t="shared" ref="J9" si="12">SUM(W9:AH9)</f>
        <v>13200.000000000002</v>
      </c>
      <c r="K9" s="5">
        <f>$G9</f>
        <v>916.66666666666663</v>
      </c>
      <c r="L9" s="5">
        <f t="shared" si="9"/>
        <v>916.66666666666663</v>
      </c>
      <c r="M9" s="5">
        <f t="shared" si="9"/>
        <v>916.66666666666663</v>
      </c>
      <c r="N9" s="5">
        <f t="shared" si="9"/>
        <v>916.66666666666663</v>
      </c>
      <c r="O9" s="5">
        <f t="shared" si="9"/>
        <v>916.66666666666663</v>
      </c>
      <c r="P9" s="5">
        <f t="shared" si="9"/>
        <v>916.66666666666663</v>
      </c>
      <c r="Q9" s="5">
        <f t="shared" si="9"/>
        <v>916.66666666666663</v>
      </c>
      <c r="R9" s="5">
        <f t="shared" si="9"/>
        <v>916.66666666666663</v>
      </c>
      <c r="S9" s="5">
        <f t="shared" si="9"/>
        <v>916.66666666666663</v>
      </c>
      <c r="T9" s="5">
        <f t="shared" si="9"/>
        <v>916.66666666666663</v>
      </c>
      <c r="U9" s="5">
        <f t="shared" si="9"/>
        <v>916.66666666666663</v>
      </c>
      <c r="V9" s="5">
        <f t="shared" si="9"/>
        <v>916.66666666666663</v>
      </c>
      <c r="W9" s="5">
        <f t="shared" si="8"/>
        <v>1100.0000000000002</v>
      </c>
      <c r="X9" s="5">
        <f t="shared" si="8"/>
        <v>1100.0000000000002</v>
      </c>
      <c r="Y9" s="5">
        <f t="shared" si="8"/>
        <v>1100.0000000000002</v>
      </c>
      <c r="Z9" s="5">
        <f t="shared" si="8"/>
        <v>1100.0000000000002</v>
      </c>
      <c r="AA9" s="5">
        <f t="shared" si="8"/>
        <v>1100.0000000000002</v>
      </c>
      <c r="AB9" s="5">
        <f t="shared" si="8"/>
        <v>1100.0000000000002</v>
      </c>
      <c r="AC9" s="5">
        <f t="shared" si="8"/>
        <v>1100.0000000000002</v>
      </c>
      <c r="AD9" s="5">
        <f t="shared" si="8"/>
        <v>1100.0000000000002</v>
      </c>
      <c r="AE9" s="5">
        <f t="shared" si="8"/>
        <v>1100.0000000000002</v>
      </c>
      <c r="AF9" s="5">
        <f t="shared" si="8"/>
        <v>1100.0000000000002</v>
      </c>
      <c r="AG9" s="5">
        <f t="shared" si="8"/>
        <v>1100.0000000000002</v>
      </c>
      <c r="AH9" s="5">
        <f t="shared" si="8"/>
        <v>1100.0000000000002</v>
      </c>
    </row>
    <row r="10" spans="1:34" x14ac:dyDescent="0.2">
      <c r="A10" s="86" t="s">
        <v>145</v>
      </c>
      <c r="B10" s="86" t="s">
        <v>174</v>
      </c>
      <c r="C10" s="88" t="s">
        <v>177</v>
      </c>
      <c r="D10" s="89">
        <v>10000</v>
      </c>
      <c r="E10" s="89">
        <v>12000</v>
      </c>
      <c r="F10" s="90">
        <v>0.1</v>
      </c>
      <c r="G10" s="89">
        <f t="shared" ref="G10:G16" si="13">D10*(1+F10)/12</f>
        <v>916.66666666666663</v>
      </c>
      <c r="H10" s="89">
        <f t="shared" si="4"/>
        <v>1100.0000000000002</v>
      </c>
      <c r="I10" s="89">
        <f t="shared" ref="I10:I16" si="14">SUM(K10:V10)</f>
        <v>10999.999999999998</v>
      </c>
      <c r="J10" s="89">
        <f t="shared" ref="J10:J16" si="15">SUM(W10:AH10)</f>
        <v>13200.000000000002</v>
      </c>
      <c r="K10" s="5">
        <f>$G10</f>
        <v>916.66666666666663</v>
      </c>
      <c r="L10" s="5">
        <f t="shared" si="9"/>
        <v>916.66666666666663</v>
      </c>
      <c r="M10" s="5">
        <f t="shared" si="9"/>
        <v>916.66666666666663</v>
      </c>
      <c r="N10" s="5">
        <f t="shared" si="9"/>
        <v>916.66666666666663</v>
      </c>
      <c r="O10" s="5">
        <f t="shared" si="9"/>
        <v>916.66666666666663</v>
      </c>
      <c r="P10" s="5">
        <f t="shared" si="9"/>
        <v>916.66666666666663</v>
      </c>
      <c r="Q10" s="5">
        <f t="shared" si="9"/>
        <v>916.66666666666663</v>
      </c>
      <c r="R10" s="5">
        <f t="shared" si="9"/>
        <v>916.66666666666663</v>
      </c>
      <c r="S10" s="5">
        <f t="shared" si="9"/>
        <v>916.66666666666663</v>
      </c>
      <c r="T10" s="5">
        <f t="shared" si="9"/>
        <v>916.66666666666663</v>
      </c>
      <c r="U10" s="5">
        <f t="shared" si="9"/>
        <v>916.66666666666663</v>
      </c>
      <c r="V10" s="5">
        <f t="shared" si="9"/>
        <v>916.66666666666663</v>
      </c>
      <c r="W10" s="5">
        <f t="shared" si="8"/>
        <v>1100.0000000000002</v>
      </c>
      <c r="X10" s="5">
        <f t="shared" si="8"/>
        <v>1100.0000000000002</v>
      </c>
      <c r="Y10" s="5">
        <f t="shared" si="8"/>
        <v>1100.0000000000002</v>
      </c>
      <c r="Z10" s="5">
        <f t="shared" si="8"/>
        <v>1100.0000000000002</v>
      </c>
      <c r="AA10" s="5">
        <f t="shared" si="8"/>
        <v>1100.0000000000002</v>
      </c>
      <c r="AB10" s="5">
        <f t="shared" si="8"/>
        <v>1100.0000000000002</v>
      </c>
      <c r="AC10" s="5">
        <f t="shared" si="8"/>
        <v>1100.0000000000002</v>
      </c>
      <c r="AD10" s="5">
        <f t="shared" si="8"/>
        <v>1100.0000000000002</v>
      </c>
      <c r="AE10" s="5">
        <f t="shared" si="8"/>
        <v>1100.0000000000002</v>
      </c>
      <c r="AF10" s="5">
        <f t="shared" si="8"/>
        <v>1100.0000000000002</v>
      </c>
      <c r="AG10" s="5">
        <f t="shared" si="8"/>
        <v>1100.0000000000002</v>
      </c>
      <c r="AH10" s="5">
        <f t="shared" si="8"/>
        <v>1100.0000000000002</v>
      </c>
    </row>
    <row r="11" spans="1:34" x14ac:dyDescent="0.2">
      <c r="A11" s="86" t="s">
        <v>145</v>
      </c>
      <c r="B11" s="86" t="s">
        <v>183</v>
      </c>
      <c r="C11" s="88" t="s">
        <v>182</v>
      </c>
      <c r="D11" s="89">
        <v>55000</v>
      </c>
      <c r="E11" s="89">
        <v>60000</v>
      </c>
      <c r="F11" s="90">
        <v>0.1</v>
      </c>
      <c r="G11" s="89">
        <f t="shared" si="13"/>
        <v>5041.666666666667</v>
      </c>
      <c r="H11" s="89">
        <f t="shared" si="4"/>
        <v>5500</v>
      </c>
      <c r="I11" s="89">
        <f t="shared" si="14"/>
        <v>60499.999999999993</v>
      </c>
      <c r="J11" s="89">
        <f t="shared" si="15"/>
        <v>66000</v>
      </c>
      <c r="K11" s="5">
        <f>$G11</f>
        <v>5041.666666666667</v>
      </c>
      <c r="L11" s="5">
        <f t="shared" ref="L11:V11" si="16">$G11</f>
        <v>5041.666666666667</v>
      </c>
      <c r="M11" s="5">
        <f t="shared" si="16"/>
        <v>5041.666666666667</v>
      </c>
      <c r="N11" s="5">
        <f t="shared" si="16"/>
        <v>5041.666666666667</v>
      </c>
      <c r="O11" s="5">
        <f t="shared" si="16"/>
        <v>5041.666666666667</v>
      </c>
      <c r="P11" s="5">
        <f t="shared" si="16"/>
        <v>5041.666666666667</v>
      </c>
      <c r="Q11" s="5">
        <f t="shared" si="16"/>
        <v>5041.666666666667</v>
      </c>
      <c r="R11" s="5">
        <f t="shared" si="16"/>
        <v>5041.666666666667</v>
      </c>
      <c r="S11" s="5">
        <f t="shared" si="16"/>
        <v>5041.666666666667</v>
      </c>
      <c r="T11" s="5">
        <f t="shared" si="16"/>
        <v>5041.666666666667</v>
      </c>
      <c r="U11" s="5">
        <f t="shared" si="16"/>
        <v>5041.666666666667</v>
      </c>
      <c r="V11" s="5">
        <f t="shared" si="16"/>
        <v>5041.666666666667</v>
      </c>
      <c r="W11" s="5">
        <f t="shared" si="8"/>
        <v>5500</v>
      </c>
      <c r="X11" s="5">
        <f t="shared" si="8"/>
        <v>5500</v>
      </c>
      <c r="Y11" s="5">
        <f t="shared" si="8"/>
        <v>5500</v>
      </c>
      <c r="Z11" s="5">
        <f t="shared" si="8"/>
        <v>5500</v>
      </c>
      <c r="AA11" s="5">
        <f t="shared" si="8"/>
        <v>5500</v>
      </c>
      <c r="AB11" s="5">
        <f t="shared" si="8"/>
        <v>5500</v>
      </c>
      <c r="AC11" s="5">
        <f t="shared" si="8"/>
        <v>5500</v>
      </c>
      <c r="AD11" s="5">
        <f t="shared" si="8"/>
        <v>5500</v>
      </c>
      <c r="AE11" s="5">
        <f t="shared" si="8"/>
        <v>5500</v>
      </c>
      <c r="AF11" s="5">
        <f t="shared" si="8"/>
        <v>5500</v>
      </c>
      <c r="AG11" s="5">
        <f t="shared" si="8"/>
        <v>5500</v>
      </c>
      <c r="AH11" s="5">
        <f t="shared" si="8"/>
        <v>5500</v>
      </c>
    </row>
    <row r="12" spans="1:34" x14ac:dyDescent="0.2">
      <c r="A12" s="86" t="s">
        <v>145</v>
      </c>
      <c r="B12" s="86" t="s">
        <v>188</v>
      </c>
      <c r="C12" s="88" t="s">
        <v>181</v>
      </c>
      <c r="D12" s="89">
        <v>55000</v>
      </c>
      <c r="E12" s="89">
        <v>60000</v>
      </c>
      <c r="F12" s="90">
        <v>0.2</v>
      </c>
      <c r="G12" s="89">
        <f t="shared" si="13"/>
        <v>5500</v>
      </c>
      <c r="H12" s="89">
        <f t="shared" si="4"/>
        <v>6000</v>
      </c>
      <c r="I12" s="89">
        <f t="shared" si="14"/>
        <v>38500</v>
      </c>
      <c r="J12" s="89">
        <f t="shared" si="15"/>
        <v>72000</v>
      </c>
      <c r="K12" s="5"/>
      <c r="L12" s="5"/>
      <c r="M12" s="5"/>
      <c r="N12" s="5"/>
      <c r="O12" s="5"/>
      <c r="P12" s="5">
        <f t="shared" ref="P12:R12" si="17">$G12</f>
        <v>5500</v>
      </c>
      <c r="Q12" s="5">
        <f t="shared" si="17"/>
        <v>5500</v>
      </c>
      <c r="R12" s="5">
        <f t="shared" si="17"/>
        <v>5500</v>
      </c>
      <c r="S12" s="5">
        <f>$G12</f>
        <v>5500</v>
      </c>
      <c r="T12" s="5">
        <f t="shared" si="9"/>
        <v>5500</v>
      </c>
      <c r="U12" s="5">
        <f t="shared" si="9"/>
        <v>5500</v>
      </c>
      <c r="V12" s="5">
        <f t="shared" si="9"/>
        <v>5500</v>
      </c>
      <c r="W12" s="5">
        <f t="shared" si="8"/>
        <v>6000</v>
      </c>
      <c r="X12" s="5">
        <f t="shared" si="8"/>
        <v>6000</v>
      </c>
      <c r="Y12" s="5">
        <f t="shared" si="8"/>
        <v>6000</v>
      </c>
      <c r="Z12" s="5">
        <f t="shared" si="8"/>
        <v>6000</v>
      </c>
      <c r="AA12" s="5">
        <f t="shared" si="8"/>
        <v>6000</v>
      </c>
      <c r="AB12" s="5">
        <f t="shared" si="8"/>
        <v>6000</v>
      </c>
      <c r="AC12" s="5">
        <f t="shared" si="8"/>
        <v>6000</v>
      </c>
      <c r="AD12" s="5">
        <f t="shared" si="8"/>
        <v>6000</v>
      </c>
      <c r="AE12" s="5">
        <f t="shared" si="8"/>
        <v>6000</v>
      </c>
      <c r="AF12" s="5">
        <f t="shared" si="8"/>
        <v>6000</v>
      </c>
      <c r="AG12" s="5">
        <f t="shared" si="8"/>
        <v>6000</v>
      </c>
      <c r="AH12" s="5">
        <f t="shared" ref="X12:AH16" si="18">$H12</f>
        <v>6000</v>
      </c>
    </row>
    <row r="13" spans="1:34" x14ac:dyDescent="0.2">
      <c r="A13" s="86" t="s">
        <v>184</v>
      </c>
      <c r="B13" s="86" t="s">
        <v>233</v>
      </c>
      <c r="C13" s="88" t="s">
        <v>232</v>
      </c>
      <c r="D13" s="89">
        <v>55000</v>
      </c>
      <c r="E13" s="89">
        <v>60000</v>
      </c>
      <c r="F13" s="90">
        <v>0.1</v>
      </c>
      <c r="G13" s="89">
        <f t="shared" si="13"/>
        <v>5041.666666666667</v>
      </c>
      <c r="H13" s="89">
        <f t="shared" si="4"/>
        <v>5500</v>
      </c>
      <c r="I13" s="89">
        <f t="shared" si="14"/>
        <v>60499.999999999993</v>
      </c>
      <c r="J13" s="89">
        <f t="shared" si="15"/>
        <v>66000</v>
      </c>
      <c r="K13" s="5">
        <f>$G13</f>
        <v>5041.666666666667</v>
      </c>
      <c r="L13" s="5">
        <f t="shared" ref="L13:V14" si="19">$G13</f>
        <v>5041.666666666667</v>
      </c>
      <c r="M13" s="5">
        <f t="shared" si="19"/>
        <v>5041.666666666667</v>
      </c>
      <c r="N13" s="5">
        <f t="shared" si="19"/>
        <v>5041.666666666667</v>
      </c>
      <c r="O13" s="5">
        <f t="shared" si="19"/>
        <v>5041.666666666667</v>
      </c>
      <c r="P13" s="5">
        <f t="shared" si="19"/>
        <v>5041.666666666667</v>
      </c>
      <c r="Q13" s="5">
        <f t="shared" si="19"/>
        <v>5041.666666666667</v>
      </c>
      <c r="R13" s="5">
        <f t="shared" si="19"/>
        <v>5041.666666666667</v>
      </c>
      <c r="S13" s="5">
        <f t="shared" si="19"/>
        <v>5041.666666666667</v>
      </c>
      <c r="T13" s="5">
        <f t="shared" si="19"/>
        <v>5041.666666666667</v>
      </c>
      <c r="U13" s="5">
        <f t="shared" si="19"/>
        <v>5041.666666666667</v>
      </c>
      <c r="V13" s="5">
        <f t="shared" si="19"/>
        <v>5041.666666666667</v>
      </c>
      <c r="W13" s="5">
        <f t="shared" si="8"/>
        <v>5500</v>
      </c>
      <c r="X13" s="5">
        <f t="shared" si="18"/>
        <v>5500</v>
      </c>
      <c r="Y13" s="5">
        <f t="shared" si="18"/>
        <v>5500</v>
      </c>
      <c r="Z13" s="5">
        <f t="shared" si="18"/>
        <v>5500</v>
      </c>
      <c r="AA13" s="5">
        <f t="shared" si="18"/>
        <v>5500</v>
      </c>
      <c r="AB13" s="5">
        <f t="shared" si="18"/>
        <v>5500</v>
      </c>
      <c r="AC13" s="5">
        <f t="shared" si="18"/>
        <v>5500</v>
      </c>
      <c r="AD13" s="5">
        <f t="shared" si="18"/>
        <v>5500</v>
      </c>
      <c r="AE13" s="5">
        <f t="shared" si="18"/>
        <v>5500</v>
      </c>
      <c r="AF13" s="5">
        <f t="shared" si="18"/>
        <v>5500</v>
      </c>
      <c r="AG13" s="5">
        <f t="shared" si="18"/>
        <v>5500</v>
      </c>
      <c r="AH13" s="5">
        <f t="shared" si="18"/>
        <v>5500</v>
      </c>
    </row>
    <row r="14" spans="1:34" x14ac:dyDescent="0.2">
      <c r="A14" s="86" t="s">
        <v>184</v>
      </c>
      <c r="B14" s="86" t="s">
        <v>234</v>
      </c>
      <c r="C14" s="88" t="s">
        <v>187</v>
      </c>
      <c r="D14" s="89">
        <v>55000</v>
      </c>
      <c r="E14" s="89">
        <v>60000</v>
      </c>
      <c r="F14" s="90">
        <v>0.2</v>
      </c>
      <c r="G14" s="89">
        <f t="shared" si="13"/>
        <v>5500</v>
      </c>
      <c r="H14" s="89">
        <f t="shared" si="4"/>
        <v>6000</v>
      </c>
      <c r="I14" s="89">
        <f t="shared" si="14"/>
        <v>66000</v>
      </c>
      <c r="J14" s="89">
        <f t="shared" si="15"/>
        <v>72000</v>
      </c>
      <c r="K14" s="5">
        <f t="shared" ref="K14" si="20">$G14</f>
        <v>5500</v>
      </c>
      <c r="L14" s="5">
        <f t="shared" si="19"/>
        <v>5500</v>
      </c>
      <c r="M14" s="5">
        <f t="shared" si="19"/>
        <v>5500</v>
      </c>
      <c r="N14" s="5">
        <f t="shared" si="19"/>
        <v>5500</v>
      </c>
      <c r="O14" s="5">
        <f t="shared" si="19"/>
        <v>5500</v>
      </c>
      <c r="P14" s="5">
        <f t="shared" si="19"/>
        <v>5500</v>
      </c>
      <c r="Q14" s="5">
        <f t="shared" si="19"/>
        <v>5500</v>
      </c>
      <c r="R14" s="5">
        <f t="shared" si="19"/>
        <v>5500</v>
      </c>
      <c r="S14" s="5">
        <f t="shared" si="19"/>
        <v>5500</v>
      </c>
      <c r="T14" s="5">
        <f t="shared" si="19"/>
        <v>5500</v>
      </c>
      <c r="U14" s="5">
        <f t="shared" si="19"/>
        <v>5500</v>
      </c>
      <c r="V14" s="5">
        <f t="shared" si="19"/>
        <v>5500</v>
      </c>
      <c r="W14" s="5">
        <f t="shared" si="8"/>
        <v>6000</v>
      </c>
      <c r="X14" s="5">
        <f t="shared" si="18"/>
        <v>6000</v>
      </c>
      <c r="Y14" s="5">
        <f t="shared" si="18"/>
        <v>6000</v>
      </c>
      <c r="Z14" s="5">
        <f t="shared" si="18"/>
        <v>6000</v>
      </c>
      <c r="AA14" s="5">
        <f t="shared" si="18"/>
        <v>6000</v>
      </c>
      <c r="AB14" s="5">
        <f t="shared" si="18"/>
        <v>6000</v>
      </c>
      <c r="AC14" s="5">
        <f t="shared" si="18"/>
        <v>6000</v>
      </c>
      <c r="AD14" s="5">
        <f t="shared" si="18"/>
        <v>6000</v>
      </c>
      <c r="AE14" s="5">
        <f t="shared" si="18"/>
        <v>6000</v>
      </c>
      <c r="AF14" s="5">
        <f t="shared" si="18"/>
        <v>6000</v>
      </c>
      <c r="AG14" s="5">
        <f t="shared" si="18"/>
        <v>6000</v>
      </c>
      <c r="AH14" s="5">
        <f t="shared" si="18"/>
        <v>6000</v>
      </c>
    </row>
    <row r="15" spans="1:34" x14ac:dyDescent="0.2">
      <c r="A15" s="86" t="s">
        <v>184</v>
      </c>
      <c r="B15" s="86" t="s">
        <v>185</v>
      </c>
      <c r="C15" s="88" t="s">
        <v>186</v>
      </c>
      <c r="D15" s="89">
        <v>55000</v>
      </c>
      <c r="E15" s="89">
        <v>60000</v>
      </c>
      <c r="F15" s="90">
        <v>0.1</v>
      </c>
      <c r="G15" s="89">
        <f t="shared" si="13"/>
        <v>5041.666666666667</v>
      </c>
      <c r="H15" s="89">
        <f t="shared" si="4"/>
        <v>5500</v>
      </c>
      <c r="I15" s="89">
        <f t="shared" si="14"/>
        <v>60499.999999999993</v>
      </c>
      <c r="J15" s="89">
        <f t="shared" si="15"/>
        <v>66000</v>
      </c>
      <c r="K15" s="5">
        <f>$G15</f>
        <v>5041.666666666667</v>
      </c>
      <c r="L15" s="5">
        <f t="shared" ref="L15:V16" si="21">$G15</f>
        <v>5041.666666666667</v>
      </c>
      <c r="M15" s="5">
        <f t="shared" si="21"/>
        <v>5041.666666666667</v>
      </c>
      <c r="N15" s="5">
        <f t="shared" si="21"/>
        <v>5041.666666666667</v>
      </c>
      <c r="O15" s="5">
        <f t="shared" si="21"/>
        <v>5041.666666666667</v>
      </c>
      <c r="P15" s="5">
        <f t="shared" si="21"/>
        <v>5041.666666666667</v>
      </c>
      <c r="Q15" s="5">
        <f t="shared" si="21"/>
        <v>5041.666666666667</v>
      </c>
      <c r="R15" s="5">
        <f t="shared" si="21"/>
        <v>5041.666666666667</v>
      </c>
      <c r="S15" s="5">
        <f t="shared" si="21"/>
        <v>5041.666666666667</v>
      </c>
      <c r="T15" s="5">
        <f t="shared" si="21"/>
        <v>5041.666666666667</v>
      </c>
      <c r="U15" s="5">
        <f t="shared" si="21"/>
        <v>5041.666666666667</v>
      </c>
      <c r="V15" s="5">
        <f t="shared" si="21"/>
        <v>5041.666666666667</v>
      </c>
      <c r="W15" s="5">
        <f t="shared" si="8"/>
        <v>5500</v>
      </c>
      <c r="X15" s="5">
        <f t="shared" si="18"/>
        <v>5500</v>
      </c>
      <c r="Y15" s="5">
        <f t="shared" si="18"/>
        <v>5500</v>
      </c>
      <c r="Z15" s="5">
        <f t="shared" si="18"/>
        <v>5500</v>
      </c>
      <c r="AA15" s="5">
        <f t="shared" si="18"/>
        <v>5500</v>
      </c>
      <c r="AB15" s="5">
        <f t="shared" si="18"/>
        <v>5500</v>
      </c>
      <c r="AC15" s="5">
        <f t="shared" si="18"/>
        <v>5500</v>
      </c>
      <c r="AD15" s="5">
        <f t="shared" si="18"/>
        <v>5500</v>
      </c>
      <c r="AE15" s="5">
        <f t="shared" si="18"/>
        <v>5500</v>
      </c>
      <c r="AF15" s="5">
        <f t="shared" si="18"/>
        <v>5500</v>
      </c>
      <c r="AG15" s="5">
        <f t="shared" si="18"/>
        <v>5500</v>
      </c>
      <c r="AH15" s="5">
        <f t="shared" si="18"/>
        <v>5500</v>
      </c>
    </row>
    <row r="16" spans="1:34" x14ac:dyDescent="0.2">
      <c r="A16" s="86" t="s">
        <v>184</v>
      </c>
      <c r="B16" s="86" t="s">
        <v>238</v>
      </c>
      <c r="C16" s="88" t="s">
        <v>181</v>
      </c>
      <c r="D16" s="89">
        <v>55000</v>
      </c>
      <c r="E16" s="89">
        <v>60000</v>
      </c>
      <c r="F16" s="90">
        <v>0.2</v>
      </c>
      <c r="G16" s="89">
        <f t="shared" si="13"/>
        <v>5500</v>
      </c>
      <c r="H16" s="89">
        <f t="shared" si="4"/>
        <v>6000</v>
      </c>
      <c r="I16" s="89">
        <f t="shared" si="14"/>
        <v>38500</v>
      </c>
      <c r="J16" s="89">
        <f t="shared" si="15"/>
        <v>72000</v>
      </c>
      <c r="K16" s="5"/>
      <c r="L16" s="5"/>
      <c r="M16" s="5"/>
      <c r="N16" s="5"/>
      <c r="O16" s="5"/>
      <c r="P16" s="5">
        <f t="shared" si="21"/>
        <v>5500</v>
      </c>
      <c r="Q16" s="5">
        <f t="shared" si="21"/>
        <v>5500</v>
      </c>
      <c r="R16" s="5">
        <f t="shared" si="21"/>
        <v>5500</v>
      </c>
      <c r="S16" s="5">
        <f t="shared" si="21"/>
        <v>5500</v>
      </c>
      <c r="T16" s="5">
        <f t="shared" si="21"/>
        <v>5500</v>
      </c>
      <c r="U16" s="5">
        <f t="shared" si="21"/>
        <v>5500</v>
      </c>
      <c r="V16" s="5">
        <f t="shared" si="21"/>
        <v>5500</v>
      </c>
      <c r="W16" s="5">
        <f t="shared" si="8"/>
        <v>6000</v>
      </c>
      <c r="X16" s="5">
        <f t="shared" si="18"/>
        <v>6000</v>
      </c>
      <c r="Y16" s="5">
        <f t="shared" si="18"/>
        <v>6000</v>
      </c>
      <c r="Z16" s="5">
        <f t="shared" si="18"/>
        <v>6000</v>
      </c>
      <c r="AA16" s="5">
        <f t="shared" si="18"/>
        <v>6000</v>
      </c>
      <c r="AB16" s="5">
        <f t="shared" si="18"/>
        <v>6000</v>
      </c>
      <c r="AC16" s="5">
        <f t="shared" si="18"/>
        <v>6000</v>
      </c>
      <c r="AD16" s="5">
        <f t="shared" si="18"/>
        <v>6000</v>
      </c>
      <c r="AE16" s="5">
        <f t="shared" si="18"/>
        <v>6000</v>
      </c>
      <c r="AF16" s="5">
        <f t="shared" si="18"/>
        <v>6000</v>
      </c>
      <c r="AG16" s="5">
        <f t="shared" si="18"/>
        <v>6000</v>
      </c>
      <c r="AH16" s="5">
        <f t="shared" si="18"/>
        <v>6000</v>
      </c>
    </row>
    <row r="18" spans="1:34" x14ac:dyDescent="0.2">
      <c r="A18" s="86" t="s">
        <v>118</v>
      </c>
      <c r="D18" s="5">
        <f>SUM(D4:D16)</f>
        <v>565000</v>
      </c>
      <c r="E18" s="5">
        <f>SUM(E4:E16)</f>
        <v>609000</v>
      </c>
      <c r="F18" s="5"/>
      <c r="G18" s="5">
        <f t="shared" ref="G18:AH18" si="22">SUM(G4:G16)</f>
        <v>54708.333333333328</v>
      </c>
      <c r="H18" s="5">
        <f t="shared" si="22"/>
        <v>58908.333333333328</v>
      </c>
      <c r="I18" s="5">
        <f t="shared" si="22"/>
        <v>541500</v>
      </c>
      <c r="J18" s="5">
        <f t="shared" si="22"/>
        <v>706900</v>
      </c>
      <c r="K18" s="5">
        <f t="shared" si="22"/>
        <v>31708.333333333336</v>
      </c>
      <c r="L18" s="5">
        <f t="shared" si="22"/>
        <v>31708.333333333336</v>
      </c>
      <c r="M18" s="5">
        <f t="shared" si="22"/>
        <v>31708.333333333336</v>
      </c>
      <c r="N18" s="5">
        <f t="shared" si="22"/>
        <v>31708.333333333336</v>
      </c>
      <c r="O18" s="5">
        <f t="shared" si="22"/>
        <v>31708.333333333336</v>
      </c>
      <c r="P18" s="5">
        <f t="shared" si="22"/>
        <v>54708.333333333328</v>
      </c>
      <c r="Q18" s="5">
        <f t="shared" si="22"/>
        <v>54708.333333333328</v>
      </c>
      <c r="R18" s="5">
        <f t="shared" si="22"/>
        <v>54708.333333333328</v>
      </c>
      <c r="S18" s="5">
        <f t="shared" si="22"/>
        <v>54708.333333333328</v>
      </c>
      <c r="T18" s="5">
        <f t="shared" si="22"/>
        <v>54708.333333333328</v>
      </c>
      <c r="U18" s="5">
        <f t="shared" si="22"/>
        <v>54708.333333333328</v>
      </c>
      <c r="V18" s="5">
        <f t="shared" si="22"/>
        <v>54708.333333333328</v>
      </c>
      <c r="W18" s="5">
        <f t="shared" si="22"/>
        <v>58908.333333333328</v>
      </c>
      <c r="X18" s="5">
        <f t="shared" si="22"/>
        <v>58908.333333333328</v>
      </c>
      <c r="Y18" s="5">
        <f t="shared" si="22"/>
        <v>58908.333333333328</v>
      </c>
      <c r="Z18" s="5">
        <f t="shared" si="22"/>
        <v>58908.333333333328</v>
      </c>
      <c r="AA18" s="5">
        <f t="shared" si="22"/>
        <v>58908.333333333328</v>
      </c>
      <c r="AB18" s="5">
        <f t="shared" si="22"/>
        <v>58908.333333333328</v>
      </c>
      <c r="AC18" s="5">
        <f t="shared" si="22"/>
        <v>58908.333333333328</v>
      </c>
      <c r="AD18" s="5">
        <f t="shared" si="22"/>
        <v>58908.333333333328</v>
      </c>
      <c r="AE18" s="5">
        <f t="shared" si="22"/>
        <v>58908.333333333328</v>
      </c>
      <c r="AF18" s="5">
        <f t="shared" si="22"/>
        <v>58908.333333333328</v>
      </c>
      <c r="AG18" s="5">
        <f t="shared" si="22"/>
        <v>58908.333333333328</v>
      </c>
      <c r="AH18" s="5">
        <f t="shared" si="22"/>
        <v>58908.333333333328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07A1-8A03-1041-85E1-EEA839798DD3}">
  <dimension ref="A1"/>
  <sheetViews>
    <sheetView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0CDB-5EFF-4D44-93EB-2CA81FF8218E}">
  <dimension ref="A2:S27"/>
  <sheetViews>
    <sheetView workbookViewId="0">
      <selection activeCell="M15" sqref="M15"/>
    </sheetView>
  </sheetViews>
  <sheetFormatPr baseColWidth="10" defaultRowHeight="16" x14ac:dyDescent="0.2"/>
  <cols>
    <col min="1" max="1" width="32.6640625" bestFit="1" customWidth="1"/>
    <col min="2" max="2" width="22.5" bestFit="1" customWidth="1"/>
    <col min="3" max="3" width="3.83203125" customWidth="1"/>
    <col min="4" max="4" width="10.5" customWidth="1"/>
    <col min="11" max="11" width="6.33203125" customWidth="1"/>
    <col min="12" max="12" width="12.83203125" style="3" customWidth="1"/>
    <col min="13" max="13" width="13.6640625" style="12" customWidth="1"/>
    <col min="14" max="19" width="10.83203125" style="27"/>
  </cols>
  <sheetData>
    <row r="2" spans="1:14" x14ac:dyDescent="0.2">
      <c r="D2" s="111" t="s">
        <v>125</v>
      </c>
      <c r="E2" s="111"/>
      <c r="F2" s="111"/>
      <c r="G2" s="111"/>
      <c r="H2" s="111"/>
      <c r="I2" s="111"/>
      <c r="J2" s="111"/>
    </row>
    <row r="3" spans="1:14" s="18" customFormat="1" x14ac:dyDescent="0.2">
      <c r="A3" s="17" t="s">
        <v>119</v>
      </c>
      <c r="B3" s="17" t="s">
        <v>93</v>
      </c>
      <c r="C3" s="17"/>
      <c r="D3" s="17">
        <v>2024</v>
      </c>
      <c r="E3" s="17">
        <f>D3+1</f>
        <v>2025</v>
      </c>
      <c r="F3" s="17">
        <f t="shared" ref="F3:J3" si="0">E3+1</f>
        <v>2026</v>
      </c>
      <c r="G3" s="17">
        <f t="shared" si="0"/>
        <v>2027</v>
      </c>
      <c r="H3" s="17">
        <f t="shared" si="0"/>
        <v>2028</v>
      </c>
      <c r="I3" s="17">
        <f t="shared" si="0"/>
        <v>2029</v>
      </c>
      <c r="J3" s="17">
        <f t="shared" si="0"/>
        <v>2030</v>
      </c>
      <c r="L3" s="17" t="s">
        <v>160</v>
      </c>
      <c r="M3" s="21" t="s">
        <v>159</v>
      </c>
      <c r="N3" s="18" t="s">
        <v>162</v>
      </c>
    </row>
    <row r="4" spans="1:14" x14ac:dyDescent="0.2">
      <c r="A4" s="51" t="s">
        <v>99</v>
      </c>
      <c r="B4" s="51">
        <v>1</v>
      </c>
      <c r="C4" s="51"/>
      <c r="D4" s="59">
        <v>0.1</v>
      </c>
      <c r="E4" s="59">
        <v>0.2</v>
      </c>
      <c r="F4" s="59">
        <v>0.1</v>
      </c>
      <c r="G4" s="59">
        <v>0.13</v>
      </c>
      <c r="H4" s="59">
        <v>0.18</v>
      </c>
      <c r="I4" s="59">
        <v>0.2</v>
      </c>
      <c r="J4" s="59">
        <v>0.25</v>
      </c>
      <c r="L4" s="3">
        <v>1</v>
      </c>
      <c r="M4" s="12">
        <f>SUMIF(MSAs!I$2:I$70, 1, MSAs!J$2:J$70)</f>
        <v>33075.800000000003</v>
      </c>
      <c r="N4" s="27">
        <v>1</v>
      </c>
    </row>
    <row r="5" spans="1:14" x14ac:dyDescent="0.2">
      <c r="A5" s="51" t="s">
        <v>98</v>
      </c>
      <c r="B5" s="51">
        <v>2</v>
      </c>
      <c r="C5" s="51"/>
      <c r="D5" s="59">
        <v>0</v>
      </c>
      <c r="E5" s="59">
        <v>0.02</v>
      </c>
      <c r="F5" s="59">
        <v>7.0000000000000007E-2</v>
      </c>
      <c r="G5" s="59">
        <v>0.1</v>
      </c>
      <c r="H5" s="59">
        <v>0.13</v>
      </c>
      <c r="I5" s="59">
        <v>0.18</v>
      </c>
      <c r="J5" s="59">
        <v>0.25</v>
      </c>
      <c r="L5" s="3">
        <v>1</v>
      </c>
      <c r="M5" s="12">
        <f>SUMIF(MSAs!I$2:I$70, 2, MSAs!J$2:J$70)</f>
        <v>296382.10000000003</v>
      </c>
      <c r="N5" s="27">
        <v>2</v>
      </c>
    </row>
    <row r="6" spans="1:14" x14ac:dyDescent="0.2">
      <c r="A6" s="51" t="s">
        <v>115</v>
      </c>
      <c r="B6" s="51">
        <v>3</v>
      </c>
      <c r="C6" s="51"/>
      <c r="D6" s="59">
        <v>0</v>
      </c>
      <c r="E6" s="59">
        <v>0.02</v>
      </c>
      <c r="F6" s="59">
        <v>7.0000000000000007E-2</v>
      </c>
      <c r="G6" s="59">
        <v>0.1</v>
      </c>
      <c r="H6" s="59">
        <v>0.13</v>
      </c>
      <c r="I6" s="59">
        <v>0.18</v>
      </c>
      <c r="J6" s="59">
        <v>0.25</v>
      </c>
      <c r="L6" s="3">
        <v>1</v>
      </c>
      <c r="M6" s="12">
        <f>SUMIF(MSAs!I$2:I$70, 3, MSAs!J$2:J$70)</f>
        <v>35906.6</v>
      </c>
      <c r="N6" s="27">
        <v>2</v>
      </c>
    </row>
    <row r="7" spans="1:14" x14ac:dyDescent="0.2">
      <c r="A7" s="51" t="s">
        <v>116</v>
      </c>
      <c r="B7" s="51">
        <v>4</v>
      </c>
      <c r="C7" s="51"/>
      <c r="D7" s="59">
        <v>0</v>
      </c>
      <c r="E7" s="59">
        <v>0.02</v>
      </c>
      <c r="F7" s="59">
        <v>7.0000000000000007E-2</v>
      </c>
      <c r="G7" s="59">
        <v>0.1</v>
      </c>
      <c r="H7" s="59">
        <v>0.13</v>
      </c>
      <c r="I7" s="59">
        <v>0.18</v>
      </c>
      <c r="J7" s="59">
        <v>0.25</v>
      </c>
      <c r="L7" s="3">
        <v>1</v>
      </c>
      <c r="M7" s="12">
        <f>SUMIF(MSAs!I$2:I$70, 4, MSAs!J$2:J$70)</f>
        <v>75510.5</v>
      </c>
      <c r="N7" s="27">
        <v>2</v>
      </c>
    </row>
    <row r="8" spans="1:14" x14ac:dyDescent="0.2">
      <c r="A8" s="51" t="s">
        <v>114</v>
      </c>
      <c r="B8" s="51">
        <v>5</v>
      </c>
      <c r="C8" s="51"/>
      <c r="D8" s="59">
        <v>0</v>
      </c>
      <c r="E8" s="59">
        <v>0</v>
      </c>
      <c r="F8" s="59">
        <v>0.02</v>
      </c>
      <c r="G8" s="59">
        <v>7.0000000000000007E-2</v>
      </c>
      <c r="H8" s="59">
        <v>0.1</v>
      </c>
      <c r="I8" s="59">
        <v>0.13</v>
      </c>
      <c r="J8" s="59">
        <v>0.18</v>
      </c>
      <c r="L8" s="3">
        <f>COUNTIF(MSAs!I$2:I$70, 5)</f>
        <v>10</v>
      </c>
      <c r="M8" s="12">
        <f>SUMIF(MSAs!I$2:I$70, 5, MSAs!J$2:J$70)</f>
        <v>105956.50000000001</v>
      </c>
      <c r="N8" s="27">
        <v>3</v>
      </c>
    </row>
    <row r="9" spans="1:14" x14ac:dyDescent="0.2">
      <c r="A9" s="51" t="s">
        <v>94</v>
      </c>
      <c r="B9" s="51">
        <v>6</v>
      </c>
      <c r="C9" s="51"/>
      <c r="D9" s="59">
        <v>0</v>
      </c>
      <c r="E9" s="59">
        <v>0</v>
      </c>
      <c r="F9" s="59">
        <v>0</v>
      </c>
      <c r="G9" s="59">
        <v>0.02</v>
      </c>
      <c r="H9" s="59">
        <v>7.0000000000000007E-2</v>
      </c>
      <c r="I9" s="59">
        <v>0.1</v>
      </c>
      <c r="J9" s="59">
        <v>0.2</v>
      </c>
      <c r="L9" s="3">
        <f>COUNTIF(MSAs!I$2:I$70, 6)</f>
        <v>9</v>
      </c>
      <c r="M9" s="12">
        <f>SUMIF(MSAs!I$2:I$70, 6, MSAs!J$2:J$70)</f>
        <v>7370252.6999999993</v>
      </c>
      <c r="N9" s="27">
        <v>4</v>
      </c>
    </row>
    <row r="10" spans="1:14" x14ac:dyDescent="0.2">
      <c r="A10" s="51" t="s">
        <v>95</v>
      </c>
      <c r="B10" s="51">
        <v>7</v>
      </c>
      <c r="C10" s="51"/>
      <c r="D10" s="59">
        <v>0</v>
      </c>
      <c r="E10" s="59">
        <v>0</v>
      </c>
      <c r="F10" s="59">
        <v>0</v>
      </c>
      <c r="G10" s="59">
        <v>0</v>
      </c>
      <c r="H10" s="59">
        <v>0.02</v>
      </c>
      <c r="I10" s="59">
        <v>7.0000000000000007E-2</v>
      </c>
      <c r="J10" s="59">
        <v>0.15</v>
      </c>
      <c r="L10" s="3">
        <f>COUNTIF(MSAs!I$2:I$70, 7)</f>
        <v>40</v>
      </c>
      <c r="M10" s="12">
        <f>SUMIF(MSAs!I$2:I$70, 7, MSAs!J$2:J$70)</f>
        <v>10621011.600000001</v>
      </c>
      <c r="N10" s="27">
        <v>5</v>
      </c>
    </row>
    <row r="11" spans="1:14" x14ac:dyDescent="0.2">
      <c r="A11" s="51" t="s">
        <v>96</v>
      </c>
      <c r="B11" s="51">
        <v>8</v>
      </c>
      <c r="C11" s="51"/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>
        <v>0.02</v>
      </c>
      <c r="J11" s="59">
        <v>0.1</v>
      </c>
      <c r="L11" s="79" t="s">
        <v>161</v>
      </c>
      <c r="M11" s="12">
        <f>SUMIF(MSAs!I$2:I$70, 8, MSAs!J$2:J$70)</f>
        <v>10322809.200000001</v>
      </c>
      <c r="N11" s="27">
        <v>6</v>
      </c>
    </row>
    <row r="12" spans="1:14" x14ac:dyDescent="0.2">
      <c r="A12" s="36"/>
      <c r="B12" s="36"/>
      <c r="C12" s="36"/>
    </row>
    <row r="13" spans="1:14" x14ac:dyDescent="0.2">
      <c r="A13" s="36"/>
      <c r="B13" s="36"/>
      <c r="C13" s="36"/>
      <c r="D13" s="111" t="s">
        <v>163</v>
      </c>
      <c r="E13" s="111"/>
      <c r="F13" s="111"/>
      <c r="G13" s="111"/>
      <c r="H13" s="111"/>
      <c r="I13" s="111"/>
      <c r="J13" s="111"/>
    </row>
    <row r="14" spans="1:14" x14ac:dyDescent="0.2">
      <c r="A14" s="17" t="s">
        <v>119</v>
      </c>
      <c r="B14" s="17" t="s">
        <v>120</v>
      </c>
      <c r="C14" s="17"/>
      <c r="D14" s="17">
        <f>D3</f>
        <v>2024</v>
      </c>
      <c r="E14" s="17">
        <f t="shared" ref="E14:J14" si="1">E3</f>
        <v>2025</v>
      </c>
      <c r="F14" s="17">
        <f t="shared" si="1"/>
        <v>2026</v>
      </c>
      <c r="G14" s="17">
        <f t="shared" si="1"/>
        <v>2027</v>
      </c>
      <c r="H14" s="17">
        <f t="shared" si="1"/>
        <v>2028</v>
      </c>
      <c r="I14" s="17">
        <f t="shared" si="1"/>
        <v>2029</v>
      </c>
      <c r="J14" s="17">
        <f t="shared" si="1"/>
        <v>2030</v>
      </c>
      <c r="L14" s="14"/>
    </row>
    <row r="15" spans="1:14" x14ac:dyDescent="0.2">
      <c r="A15" s="51" t="s">
        <v>99</v>
      </c>
      <c r="B15" s="27">
        <f>SUMIF(MSAs!$I$2:$I$65,Merchants!$B4,MSAs!$D$2:$D$65)</f>
        <v>2689.2</v>
      </c>
      <c r="C15" s="27"/>
      <c r="D15" s="27">
        <f>$B15*D4</f>
        <v>268.92</v>
      </c>
      <c r="E15" s="27">
        <f>$B15*E4</f>
        <v>537.84</v>
      </c>
      <c r="F15" s="27">
        <f t="shared" ref="F15:I15" si="2">$B15*F4</f>
        <v>268.92</v>
      </c>
      <c r="G15" s="27">
        <f>$B15*G4</f>
        <v>349.596</v>
      </c>
      <c r="H15" s="27">
        <f t="shared" si="2"/>
        <v>484.05599999999993</v>
      </c>
      <c r="I15" s="27">
        <f t="shared" si="2"/>
        <v>537.84</v>
      </c>
      <c r="J15" s="27">
        <f>$B15*J4</f>
        <v>672.3</v>
      </c>
      <c r="K15" s="27"/>
      <c r="L15" s="4"/>
    </row>
    <row r="16" spans="1:14" x14ac:dyDescent="0.2">
      <c r="A16" s="51" t="s">
        <v>98</v>
      </c>
      <c r="B16" s="27">
        <f>SUMIF(MSAs!$I$2:$I$65,Merchants!$B5,MSAs!$D$2:$D$65)</f>
        <v>19015.68</v>
      </c>
      <c r="C16" s="27"/>
      <c r="D16" s="27">
        <f>$B16*D5</f>
        <v>0</v>
      </c>
      <c r="E16" s="27">
        <f t="shared" ref="E16:I16" si="3">$B16*E5</f>
        <v>380.31360000000001</v>
      </c>
      <c r="F16" s="27">
        <f t="shared" si="3"/>
        <v>1331.0976000000001</v>
      </c>
      <c r="G16" s="27">
        <f t="shared" si="3"/>
        <v>1901.5680000000002</v>
      </c>
      <c r="H16" s="27">
        <f t="shared" si="3"/>
        <v>2472.0383999999999</v>
      </c>
      <c r="I16" s="27">
        <f t="shared" si="3"/>
        <v>3422.8224</v>
      </c>
      <c r="J16" s="27">
        <f>$B16*J5</f>
        <v>4753.92</v>
      </c>
    </row>
    <row r="17" spans="1:12" x14ac:dyDescent="0.2">
      <c r="A17" s="51" t="s">
        <v>115</v>
      </c>
      <c r="B17" s="27">
        <f>SUMIF(MSAs!$I$2:$I$65,Merchants!$B6,MSAs!$D$2:$D$65)</f>
        <v>2536.64</v>
      </c>
      <c r="C17" s="27"/>
      <c r="D17" s="27">
        <f t="shared" ref="D17:J17" si="4">$B17*D6</f>
        <v>0</v>
      </c>
      <c r="E17" s="27">
        <f t="shared" si="4"/>
        <v>50.732799999999997</v>
      </c>
      <c r="F17" s="27">
        <f t="shared" si="4"/>
        <v>177.56480000000002</v>
      </c>
      <c r="G17" s="27">
        <f t="shared" si="4"/>
        <v>253.66399999999999</v>
      </c>
      <c r="H17" s="27">
        <f t="shared" si="4"/>
        <v>329.76319999999998</v>
      </c>
      <c r="I17" s="27">
        <f t="shared" si="4"/>
        <v>456.59519999999998</v>
      </c>
      <c r="J17" s="27">
        <f t="shared" si="4"/>
        <v>634.16</v>
      </c>
    </row>
    <row r="18" spans="1:12" x14ac:dyDescent="0.2">
      <c r="A18" s="51" t="s">
        <v>116</v>
      </c>
      <c r="B18" s="27">
        <f>SUMIF(MSAs!$I$2:$I$65,Merchants!$B7,MSAs!$D$2:$D$65)</f>
        <v>4172.58</v>
      </c>
      <c r="C18" s="27"/>
      <c r="D18" s="27">
        <f t="shared" ref="D18:J18" si="5">$B18*D7</f>
        <v>0</v>
      </c>
      <c r="E18" s="27">
        <f t="shared" si="5"/>
        <v>83.451599999999999</v>
      </c>
      <c r="F18" s="27">
        <f t="shared" si="5"/>
        <v>292.0806</v>
      </c>
      <c r="G18" s="27">
        <f t="shared" si="5"/>
        <v>417.25800000000004</v>
      </c>
      <c r="H18" s="27">
        <f t="shared" si="5"/>
        <v>542.43539999999996</v>
      </c>
      <c r="I18" s="27">
        <f t="shared" si="5"/>
        <v>751.06439999999998</v>
      </c>
      <c r="J18" s="27">
        <f t="shared" si="5"/>
        <v>1043.145</v>
      </c>
    </row>
    <row r="19" spans="1:12" x14ac:dyDescent="0.2">
      <c r="A19" s="51" t="s">
        <v>114</v>
      </c>
      <c r="B19" s="27">
        <f>SUMIF(MSAs!$I$2:$I$65,Merchants!$B8,MSAs!$D$2:$D$65)</f>
        <v>6096.94</v>
      </c>
      <c r="C19" s="27"/>
      <c r="D19" s="27">
        <f t="shared" ref="D19:J19" si="6">$B19*D8</f>
        <v>0</v>
      </c>
      <c r="E19" s="27">
        <f t="shared" si="6"/>
        <v>0</v>
      </c>
      <c r="F19" s="27">
        <f t="shared" si="6"/>
        <v>121.9388</v>
      </c>
      <c r="G19" s="27">
        <f t="shared" si="6"/>
        <v>426.78579999999999</v>
      </c>
      <c r="H19" s="27">
        <f t="shared" si="6"/>
        <v>609.69399999999996</v>
      </c>
      <c r="I19" s="27">
        <f t="shared" si="6"/>
        <v>792.60219999999993</v>
      </c>
      <c r="J19" s="27">
        <f t="shared" si="6"/>
        <v>1097.4491999999998</v>
      </c>
    </row>
    <row r="20" spans="1:12" x14ac:dyDescent="0.2">
      <c r="A20" s="51" t="s">
        <v>94</v>
      </c>
      <c r="B20" s="27">
        <f>SUMIF(MSAs!$I$2:$I$65,Merchants!$B9,MSAs!$D$2:$D$65)</f>
        <v>541238</v>
      </c>
      <c r="C20" s="27"/>
      <c r="D20" s="27">
        <f t="shared" ref="D20:J20" si="7">$B20*D9</f>
        <v>0</v>
      </c>
      <c r="E20" s="27">
        <f t="shared" si="7"/>
        <v>0</v>
      </c>
      <c r="F20" s="27">
        <f t="shared" si="7"/>
        <v>0</v>
      </c>
      <c r="G20" s="27">
        <f t="shared" si="7"/>
        <v>10824.76</v>
      </c>
      <c r="H20" s="27">
        <f t="shared" si="7"/>
        <v>37886.660000000003</v>
      </c>
      <c r="I20" s="27">
        <f t="shared" si="7"/>
        <v>54123.8</v>
      </c>
      <c r="J20" s="27">
        <f t="shared" si="7"/>
        <v>108247.6</v>
      </c>
      <c r="L20" s="65"/>
    </row>
    <row r="21" spans="1:12" x14ac:dyDescent="0.2">
      <c r="A21" s="51" t="s">
        <v>95</v>
      </c>
      <c r="B21" s="27">
        <f>SUMIF(MSAs!$I$2:$I$65,Merchants!$B10,MSAs!$D$2:$D$65)</f>
        <v>631688</v>
      </c>
      <c r="C21" s="27"/>
      <c r="D21" s="27">
        <f t="shared" ref="D21:J21" si="8">$B21*D10</f>
        <v>0</v>
      </c>
      <c r="E21" s="27">
        <f t="shared" si="8"/>
        <v>0</v>
      </c>
      <c r="F21" s="27">
        <f t="shared" si="8"/>
        <v>0</v>
      </c>
      <c r="G21" s="27">
        <f t="shared" si="8"/>
        <v>0</v>
      </c>
      <c r="H21" s="27">
        <f t="shared" si="8"/>
        <v>12633.76</v>
      </c>
      <c r="I21" s="27">
        <f t="shared" si="8"/>
        <v>44218.16</v>
      </c>
      <c r="J21" s="27">
        <f t="shared" si="8"/>
        <v>94753.2</v>
      </c>
    </row>
    <row r="22" spans="1:12" x14ac:dyDescent="0.2">
      <c r="A22" s="51" t="s">
        <v>96</v>
      </c>
      <c r="B22" s="27">
        <f>MSAs!D70</f>
        <v>806800</v>
      </c>
      <c r="C22" s="27"/>
      <c r="D22" s="27">
        <f t="shared" ref="D22:J22" si="9">$B22*D11</f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16136</v>
      </c>
      <c r="J22" s="27">
        <f t="shared" si="9"/>
        <v>80680</v>
      </c>
    </row>
    <row r="23" spans="1:12" x14ac:dyDescent="0.2">
      <c r="A23" s="61" t="s">
        <v>129</v>
      </c>
      <c r="B23" s="27">
        <f>SUM(B15:B22)</f>
        <v>2014237.04</v>
      </c>
      <c r="C23" s="3"/>
      <c r="D23" s="27">
        <f>SUM(D15:D22)</f>
        <v>268.92</v>
      </c>
      <c r="E23" s="27">
        <f t="shared" ref="E23:I23" si="10">SUM(E15:E22)</f>
        <v>1052.3380000000002</v>
      </c>
      <c r="F23" s="27">
        <f t="shared" si="10"/>
        <v>2191.6018000000004</v>
      </c>
      <c r="G23" s="27">
        <f t="shared" si="10"/>
        <v>14173.631800000001</v>
      </c>
      <c r="H23" s="27">
        <f t="shared" si="10"/>
        <v>54958.407000000007</v>
      </c>
      <c r="I23" s="27">
        <f t="shared" si="10"/>
        <v>120438.8842</v>
      </c>
      <c r="J23" s="27">
        <f>SUM(J15:J22)</f>
        <v>291881.77419999999</v>
      </c>
    </row>
    <row r="24" spans="1:12" x14ac:dyDescent="0.2">
      <c r="A24" s="61"/>
      <c r="B24" s="62"/>
      <c r="C24" s="3"/>
      <c r="E24" s="27"/>
      <c r="F24" s="27"/>
      <c r="G24" s="27"/>
      <c r="H24" s="27"/>
      <c r="I24" s="27"/>
      <c r="J24" s="27"/>
    </row>
    <row r="25" spans="1:12" x14ac:dyDescent="0.2">
      <c r="B25" s="40"/>
      <c r="C25" s="58"/>
      <c r="D25" s="27"/>
      <c r="E25" s="27"/>
      <c r="F25" s="27"/>
      <c r="G25" s="27"/>
      <c r="H25" s="27"/>
      <c r="I25" s="27"/>
      <c r="J25" s="27"/>
    </row>
    <row r="26" spans="1:12" x14ac:dyDescent="0.2">
      <c r="B26" s="40"/>
      <c r="C26" s="58"/>
      <c r="D26" s="27"/>
      <c r="E26" s="27"/>
      <c r="F26" s="27"/>
      <c r="G26" s="27"/>
      <c r="H26" s="27"/>
      <c r="I26" s="27"/>
      <c r="J26" s="27"/>
    </row>
    <row r="27" spans="1:12" x14ac:dyDescent="0.2">
      <c r="A27" s="56"/>
    </row>
  </sheetData>
  <mergeCells count="2">
    <mergeCell ref="D2:J2"/>
    <mergeCell ref="D13:J13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1513-67D9-514C-94A1-1ABA965CD347}">
  <dimension ref="A2:S27"/>
  <sheetViews>
    <sheetView workbookViewId="0">
      <selection activeCell="B25" sqref="B25"/>
    </sheetView>
  </sheetViews>
  <sheetFormatPr baseColWidth="10" defaultRowHeight="16" x14ac:dyDescent="0.2"/>
  <cols>
    <col min="1" max="1" width="32.6640625" bestFit="1" customWidth="1"/>
    <col min="2" max="2" width="18.33203125" bestFit="1" customWidth="1"/>
    <col min="3" max="3" width="7.33203125" customWidth="1"/>
    <col min="4" max="4" width="10.5" customWidth="1"/>
    <col min="12" max="12" width="12.83203125" style="3" customWidth="1"/>
    <col min="13" max="19" width="10.83203125" style="27"/>
  </cols>
  <sheetData>
    <row r="2" spans="1:13" x14ac:dyDescent="0.2">
      <c r="D2" s="111" t="s">
        <v>124</v>
      </c>
      <c r="E2" s="111"/>
      <c r="F2" s="111"/>
      <c r="G2" s="111"/>
      <c r="H2" s="111"/>
      <c r="I2" s="111"/>
      <c r="J2" s="111"/>
    </row>
    <row r="3" spans="1:13" x14ac:dyDescent="0.2">
      <c r="A3" s="17" t="s">
        <v>119</v>
      </c>
      <c r="B3" s="17" t="s">
        <v>93</v>
      </c>
      <c r="C3" s="17"/>
      <c r="D3" s="17">
        <v>2024</v>
      </c>
      <c r="E3" s="17">
        <f>D3+1</f>
        <v>2025</v>
      </c>
      <c r="F3" s="17">
        <f t="shared" ref="F3:J3" si="0">E3+1</f>
        <v>2026</v>
      </c>
      <c r="G3" s="17">
        <f t="shared" si="0"/>
        <v>2027</v>
      </c>
      <c r="H3" s="17">
        <f t="shared" si="0"/>
        <v>2028</v>
      </c>
      <c r="I3" s="17">
        <f t="shared" si="0"/>
        <v>2029</v>
      </c>
      <c r="J3" s="17">
        <f t="shared" si="0"/>
        <v>2030</v>
      </c>
    </row>
    <row r="4" spans="1:13" x14ac:dyDescent="0.2">
      <c r="A4" s="51" t="s">
        <v>99</v>
      </c>
      <c r="B4" s="51">
        <v>1</v>
      </c>
      <c r="C4" s="51"/>
      <c r="D4" s="59">
        <v>0.05</v>
      </c>
      <c r="E4" s="59">
        <v>0.1</v>
      </c>
      <c r="F4" s="59">
        <v>0.15</v>
      </c>
      <c r="G4" s="59">
        <v>0.2</v>
      </c>
      <c r="H4" s="59">
        <v>0.23</v>
      </c>
      <c r="I4" s="59">
        <v>0.27</v>
      </c>
      <c r="J4" s="59">
        <v>0.3</v>
      </c>
    </row>
    <row r="5" spans="1:13" x14ac:dyDescent="0.2">
      <c r="A5" s="51" t="s">
        <v>98</v>
      </c>
      <c r="B5" s="51">
        <v>2</v>
      </c>
      <c r="C5" s="51"/>
      <c r="D5" s="59">
        <v>0.01</v>
      </c>
      <c r="E5" s="59">
        <v>0.02</v>
      </c>
      <c r="F5" s="59">
        <v>0.1</v>
      </c>
      <c r="G5" s="59">
        <v>0.15</v>
      </c>
      <c r="H5" s="59">
        <v>0.25</v>
      </c>
      <c r="I5" s="59">
        <v>0.3</v>
      </c>
      <c r="J5" s="59">
        <v>0.4</v>
      </c>
    </row>
    <row r="6" spans="1:13" x14ac:dyDescent="0.2">
      <c r="A6" s="51" t="s">
        <v>115</v>
      </c>
      <c r="B6" s="51">
        <v>3</v>
      </c>
      <c r="C6" s="51"/>
      <c r="D6" s="59">
        <v>0</v>
      </c>
      <c r="E6" s="59">
        <v>0.01</v>
      </c>
      <c r="F6" s="59">
        <v>0.05</v>
      </c>
      <c r="G6" s="59">
        <v>0.1</v>
      </c>
      <c r="H6" s="59">
        <v>0.15</v>
      </c>
      <c r="I6" s="59">
        <v>0.18</v>
      </c>
      <c r="J6" s="59">
        <v>0.2</v>
      </c>
      <c r="M6" s="3"/>
    </row>
    <row r="7" spans="1:13" x14ac:dyDescent="0.2">
      <c r="A7" s="51" t="s">
        <v>116</v>
      </c>
      <c r="B7" s="51">
        <v>4</v>
      </c>
      <c r="C7" s="51"/>
      <c r="D7" s="59">
        <v>0</v>
      </c>
      <c r="E7" s="59">
        <v>0.01</v>
      </c>
      <c r="F7" s="59">
        <v>0.05</v>
      </c>
      <c r="G7" s="59">
        <v>0.1</v>
      </c>
      <c r="H7" s="59">
        <v>0.15</v>
      </c>
      <c r="I7" s="59">
        <v>0.18</v>
      </c>
      <c r="J7" s="59">
        <v>0.2</v>
      </c>
    </row>
    <row r="8" spans="1:13" x14ac:dyDescent="0.2">
      <c r="A8" s="51" t="s">
        <v>114</v>
      </c>
      <c r="B8" s="51">
        <v>5</v>
      </c>
      <c r="C8" s="51"/>
      <c r="D8" s="59">
        <v>0</v>
      </c>
      <c r="E8" s="59">
        <v>0</v>
      </c>
      <c r="F8" s="59">
        <v>0.01</v>
      </c>
      <c r="G8" s="59">
        <v>0.05</v>
      </c>
      <c r="H8" s="59">
        <v>0.1</v>
      </c>
      <c r="I8" s="59">
        <v>0.15</v>
      </c>
      <c r="J8" s="59">
        <v>0.2</v>
      </c>
    </row>
    <row r="9" spans="1:13" x14ac:dyDescent="0.2">
      <c r="A9" s="51" t="s">
        <v>94</v>
      </c>
      <c r="B9" s="51">
        <v>6</v>
      </c>
      <c r="C9" s="51"/>
      <c r="D9" s="59">
        <v>0</v>
      </c>
      <c r="E9" s="59">
        <v>0</v>
      </c>
      <c r="F9" s="59">
        <v>0.01</v>
      </c>
      <c r="G9" s="59">
        <v>0.05</v>
      </c>
      <c r="H9" s="59">
        <v>0.08</v>
      </c>
      <c r="I9" s="59">
        <v>0.12</v>
      </c>
      <c r="J9" s="59">
        <v>0.15</v>
      </c>
    </row>
    <row r="10" spans="1:13" x14ac:dyDescent="0.2">
      <c r="A10" s="51" t="s">
        <v>95</v>
      </c>
      <c r="B10" s="51">
        <v>7</v>
      </c>
      <c r="C10" s="51"/>
      <c r="D10" s="59">
        <v>0</v>
      </c>
      <c r="E10" s="59">
        <v>0</v>
      </c>
      <c r="F10" s="59">
        <v>0</v>
      </c>
      <c r="G10" s="59">
        <v>0.01</v>
      </c>
      <c r="H10" s="59">
        <v>0.05</v>
      </c>
      <c r="I10" s="59">
        <v>0.08</v>
      </c>
      <c r="J10" s="59">
        <v>0.15</v>
      </c>
    </row>
    <row r="11" spans="1:13" x14ac:dyDescent="0.2">
      <c r="A11" s="51" t="s">
        <v>96</v>
      </c>
      <c r="B11" s="51">
        <v>8</v>
      </c>
      <c r="C11" s="51"/>
      <c r="D11" s="59">
        <v>0</v>
      </c>
      <c r="E11" s="59">
        <v>0</v>
      </c>
      <c r="F11" s="59">
        <v>0</v>
      </c>
      <c r="G11" s="59">
        <v>0</v>
      </c>
      <c r="H11" s="59">
        <v>0.01</v>
      </c>
      <c r="I11" s="59">
        <v>0.05</v>
      </c>
      <c r="J11" s="59">
        <v>0.08</v>
      </c>
    </row>
    <row r="12" spans="1:13" x14ac:dyDescent="0.2">
      <c r="B12" s="18"/>
    </row>
    <row r="14" spans="1:13" x14ac:dyDescent="0.2">
      <c r="D14" s="111" t="s">
        <v>164</v>
      </c>
      <c r="E14" s="111"/>
      <c r="F14" s="111"/>
      <c r="G14" s="111"/>
      <c r="H14" s="111"/>
      <c r="I14" s="111"/>
      <c r="J14" s="111"/>
    </row>
    <row r="15" spans="1:13" x14ac:dyDescent="0.2">
      <c r="B15" s="17" t="s">
        <v>100</v>
      </c>
      <c r="D15" s="17">
        <f>D3</f>
        <v>2024</v>
      </c>
      <c r="E15" s="17">
        <f t="shared" ref="E15:J15" si="1">E3</f>
        <v>2025</v>
      </c>
      <c r="F15" s="17">
        <f t="shared" si="1"/>
        <v>2026</v>
      </c>
      <c r="G15" s="17">
        <f t="shared" si="1"/>
        <v>2027</v>
      </c>
      <c r="H15" s="17">
        <f t="shared" si="1"/>
        <v>2028</v>
      </c>
      <c r="I15" s="17">
        <f t="shared" si="1"/>
        <v>2029</v>
      </c>
      <c r="J15" s="17">
        <f t="shared" si="1"/>
        <v>2030</v>
      </c>
    </row>
    <row r="16" spans="1:13" x14ac:dyDescent="0.2">
      <c r="A16" s="51" t="s">
        <v>99</v>
      </c>
      <c r="B16" s="27">
        <f>MSAs!C2</f>
        <v>330758</v>
      </c>
      <c r="D16" s="27">
        <f>$B16*D4</f>
        <v>16537.900000000001</v>
      </c>
      <c r="E16" s="27">
        <f>$B16*E4</f>
        <v>33075.800000000003</v>
      </c>
      <c r="F16" s="27">
        <f t="shared" ref="F16:J16" si="2">$B16*F4</f>
        <v>49613.7</v>
      </c>
      <c r="G16" s="27">
        <f t="shared" si="2"/>
        <v>66151.600000000006</v>
      </c>
      <c r="H16" s="27">
        <f t="shared" si="2"/>
        <v>76074.34</v>
      </c>
      <c r="I16" s="27">
        <f t="shared" si="2"/>
        <v>89304.66</v>
      </c>
      <c r="J16" s="27">
        <f t="shared" si="2"/>
        <v>99227.4</v>
      </c>
    </row>
    <row r="17" spans="1:10" x14ac:dyDescent="0.2">
      <c r="A17" s="51" t="s">
        <v>98</v>
      </c>
      <c r="B17" s="27">
        <f>MSAs!C3</f>
        <v>2963821</v>
      </c>
      <c r="D17" s="27">
        <f t="shared" ref="D17:J17" si="3">$B17*D5</f>
        <v>29638.21</v>
      </c>
      <c r="E17" s="27">
        <f>$B17*E5</f>
        <v>59276.42</v>
      </c>
      <c r="F17" s="27">
        <f t="shared" si="3"/>
        <v>296382.10000000003</v>
      </c>
      <c r="G17" s="27">
        <f t="shared" si="3"/>
        <v>444573.14999999997</v>
      </c>
      <c r="H17" s="27">
        <f t="shared" si="3"/>
        <v>740955.25</v>
      </c>
      <c r="I17" s="27">
        <f t="shared" si="3"/>
        <v>889146.29999999993</v>
      </c>
      <c r="J17" s="27">
        <f t="shared" si="3"/>
        <v>1185528.4000000001</v>
      </c>
    </row>
    <row r="18" spans="1:10" x14ac:dyDescent="0.2">
      <c r="A18" s="51" t="s">
        <v>115</v>
      </c>
      <c r="B18" s="27">
        <f>MSAs!C5</f>
        <v>359066</v>
      </c>
      <c r="D18" s="27">
        <f t="shared" ref="D18:J18" si="4">$B18*D6</f>
        <v>0</v>
      </c>
      <c r="E18" s="27">
        <f t="shared" si="4"/>
        <v>3590.66</v>
      </c>
      <c r="F18" s="27">
        <f t="shared" si="4"/>
        <v>17953.3</v>
      </c>
      <c r="G18" s="27">
        <f t="shared" si="4"/>
        <v>35906.6</v>
      </c>
      <c r="H18" s="27">
        <f t="shared" si="4"/>
        <v>53859.9</v>
      </c>
      <c r="I18" s="27">
        <f t="shared" si="4"/>
        <v>64631.88</v>
      </c>
      <c r="J18" s="27">
        <f t="shared" si="4"/>
        <v>71813.2</v>
      </c>
    </row>
    <row r="19" spans="1:10" x14ac:dyDescent="0.2">
      <c r="A19" s="51" t="s">
        <v>116</v>
      </c>
      <c r="B19" s="27">
        <f>MSAs!C4</f>
        <v>755105</v>
      </c>
      <c r="D19" s="27">
        <f t="shared" ref="D19:J19" si="5">$B19*D7</f>
        <v>0</v>
      </c>
      <c r="E19" s="27">
        <f t="shared" si="5"/>
        <v>7551.05</v>
      </c>
      <c r="F19" s="27">
        <f t="shared" si="5"/>
        <v>37755.25</v>
      </c>
      <c r="G19" s="27">
        <f t="shared" si="5"/>
        <v>75510.5</v>
      </c>
      <c r="H19" s="27">
        <f t="shared" si="5"/>
        <v>113265.75</v>
      </c>
      <c r="I19" s="27">
        <f t="shared" si="5"/>
        <v>135918.9</v>
      </c>
      <c r="J19" s="27">
        <f t="shared" si="5"/>
        <v>151021</v>
      </c>
    </row>
    <row r="20" spans="1:10" x14ac:dyDescent="0.2">
      <c r="A20" s="51" t="s">
        <v>114</v>
      </c>
      <c r="B20" s="27">
        <f>SUM(MSAs!C6:C15)</f>
        <v>1059565</v>
      </c>
      <c r="D20" s="27">
        <f t="shared" ref="D20:J20" si="6">$B20*D8</f>
        <v>0</v>
      </c>
      <c r="E20" s="27">
        <f t="shared" si="6"/>
        <v>0</v>
      </c>
      <c r="F20" s="27">
        <f t="shared" si="6"/>
        <v>10595.65</v>
      </c>
      <c r="G20" s="27">
        <f t="shared" si="6"/>
        <v>52978.25</v>
      </c>
      <c r="H20" s="27">
        <f t="shared" si="6"/>
        <v>105956.5</v>
      </c>
      <c r="I20" s="27">
        <f t="shared" si="6"/>
        <v>158934.75</v>
      </c>
      <c r="J20" s="27">
        <f t="shared" si="6"/>
        <v>211913</v>
      </c>
    </row>
    <row r="21" spans="1:10" x14ac:dyDescent="0.2">
      <c r="A21" s="51" t="s">
        <v>94</v>
      </c>
      <c r="B21" s="27">
        <f>SUMIF(MSAs!$I$2:$I$65,Users!B9,MSAs!$C$2:$C$65)</f>
        <v>73702527</v>
      </c>
      <c r="D21" s="27">
        <f t="shared" ref="D21:J21" si="7">$B21*D9</f>
        <v>0</v>
      </c>
      <c r="E21" s="27">
        <f t="shared" si="7"/>
        <v>0</v>
      </c>
      <c r="F21" s="27">
        <f t="shared" si="7"/>
        <v>737025.27</v>
      </c>
      <c r="G21" s="27">
        <f t="shared" si="7"/>
        <v>3685126.35</v>
      </c>
      <c r="H21" s="27">
        <f t="shared" si="7"/>
        <v>5896202.1600000001</v>
      </c>
      <c r="I21" s="27">
        <f t="shared" si="7"/>
        <v>8844303.2400000002</v>
      </c>
      <c r="J21" s="27">
        <f t="shared" si="7"/>
        <v>11055379.049999999</v>
      </c>
    </row>
    <row r="22" spans="1:10" x14ac:dyDescent="0.2">
      <c r="A22" s="51" t="s">
        <v>95</v>
      </c>
      <c r="B22" s="27">
        <f>SUMIF(MSAs!$I$2:$I$65,Users!B10,MSAs!$C$2:$C$65)</f>
        <v>106210116</v>
      </c>
      <c r="D22" s="27">
        <f t="shared" ref="D22:J22" si="8">$B22*D10</f>
        <v>0</v>
      </c>
      <c r="E22" s="27">
        <f t="shared" si="8"/>
        <v>0</v>
      </c>
      <c r="F22" s="27">
        <f t="shared" si="8"/>
        <v>0</v>
      </c>
      <c r="G22" s="27">
        <f t="shared" si="8"/>
        <v>1062101.1599999999</v>
      </c>
      <c r="H22" s="27">
        <f t="shared" si="8"/>
        <v>5310505.8000000007</v>
      </c>
      <c r="I22" s="27">
        <f t="shared" si="8"/>
        <v>8496809.2799999993</v>
      </c>
      <c r="J22" s="27">
        <f t="shared" si="8"/>
        <v>15931517.399999999</v>
      </c>
    </row>
    <row r="23" spans="1:10" x14ac:dyDescent="0.2">
      <c r="A23" s="51" t="s">
        <v>96</v>
      </c>
      <c r="B23" s="27">
        <f>MSAs!C70</f>
        <v>103228092</v>
      </c>
      <c r="D23" s="27">
        <f t="shared" ref="D23:J23" si="9">$B23*D11</f>
        <v>0</v>
      </c>
      <c r="E23" s="27">
        <f t="shared" si="9"/>
        <v>0</v>
      </c>
      <c r="F23" s="27">
        <f t="shared" si="9"/>
        <v>0</v>
      </c>
      <c r="G23" s="27">
        <f t="shared" si="9"/>
        <v>0</v>
      </c>
      <c r="H23" s="27">
        <f t="shared" si="9"/>
        <v>1032280.92</v>
      </c>
      <c r="I23" s="27">
        <f t="shared" si="9"/>
        <v>5161404.6000000006</v>
      </c>
      <c r="J23" s="27">
        <f t="shared" si="9"/>
        <v>8258247.3600000003</v>
      </c>
    </row>
    <row r="24" spans="1:10" x14ac:dyDescent="0.2">
      <c r="A24" s="51" t="s">
        <v>23</v>
      </c>
      <c r="B24" s="27">
        <f>SUM(B16:B23)</f>
        <v>288609050</v>
      </c>
      <c r="D24" s="27"/>
      <c r="E24" s="27"/>
      <c r="F24" s="27"/>
      <c r="G24" s="27"/>
      <c r="H24" s="27"/>
      <c r="I24" s="27"/>
      <c r="J24" s="27"/>
    </row>
    <row r="25" spans="1:10" x14ac:dyDescent="0.2">
      <c r="A25" s="51"/>
      <c r="B25" s="27"/>
      <c r="D25" s="27"/>
      <c r="E25" s="27"/>
      <c r="F25" s="27"/>
      <c r="G25" s="27"/>
      <c r="H25" s="27"/>
      <c r="I25" s="27"/>
      <c r="J25" s="27"/>
    </row>
    <row r="26" spans="1:10" x14ac:dyDescent="0.2">
      <c r="A26" s="51"/>
      <c r="B26" s="63" t="s">
        <v>122</v>
      </c>
      <c r="D26" s="27">
        <f>SUM(D16:D23)</f>
        <v>46176.11</v>
      </c>
      <c r="E26" s="27">
        <f>E27-D27</f>
        <v>57317.820000000007</v>
      </c>
      <c r="F26" s="27">
        <f t="shared" ref="F26:H26" si="10">F27-E27</f>
        <v>1045831.34</v>
      </c>
      <c r="G26" s="27">
        <f t="shared" si="10"/>
        <v>4273022.34</v>
      </c>
      <c r="H26" s="27">
        <f t="shared" si="10"/>
        <v>7906753.0100000007</v>
      </c>
      <c r="I26" s="27">
        <f>I27-H27</f>
        <v>10511352.989999998</v>
      </c>
      <c r="J26" s="27">
        <f>J27-I27</f>
        <v>13124193.199999996</v>
      </c>
    </row>
    <row r="27" spans="1:10" x14ac:dyDescent="0.2">
      <c r="A27" s="51"/>
      <c r="B27" s="63" t="s">
        <v>121</v>
      </c>
      <c r="D27" s="27">
        <f>D26</f>
        <v>46176.11</v>
      </c>
      <c r="E27" s="27">
        <f t="shared" ref="E27:J27" si="11">SUM(E16:E23)</f>
        <v>103493.93000000001</v>
      </c>
      <c r="F27" s="27">
        <f t="shared" si="11"/>
        <v>1149325.27</v>
      </c>
      <c r="G27" s="27">
        <f t="shared" si="11"/>
        <v>5422347.6100000003</v>
      </c>
      <c r="H27" s="27">
        <f t="shared" si="11"/>
        <v>13329100.620000001</v>
      </c>
      <c r="I27" s="27">
        <f t="shared" si="11"/>
        <v>23840453.609999999</v>
      </c>
      <c r="J27" s="27">
        <f t="shared" si="11"/>
        <v>36964646.809999995</v>
      </c>
    </row>
  </sheetData>
  <mergeCells count="2">
    <mergeCell ref="D2:J2"/>
    <mergeCell ref="D14:J14"/>
  </mergeCells>
  <phoneticPr fontId="7" type="noConversion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47EA-560B-9E4E-894C-68DC800C0583}">
  <dimension ref="A1:J76"/>
  <sheetViews>
    <sheetView zoomScale="108" workbookViewId="0">
      <selection activeCell="K2" sqref="K2"/>
    </sheetView>
  </sheetViews>
  <sheetFormatPr baseColWidth="10" defaultRowHeight="15" x14ac:dyDescent="0.2"/>
  <cols>
    <col min="1" max="1" width="9.5" style="32" bestFit="1" customWidth="1"/>
    <col min="2" max="2" width="39.1640625" style="32" bestFit="1" customWidth="1"/>
    <col min="3" max="3" width="13.1640625" style="31" bestFit="1" customWidth="1"/>
    <col min="4" max="4" width="12.1640625" style="32" customWidth="1"/>
    <col min="5" max="8" width="20.83203125" style="32" customWidth="1"/>
    <col min="9" max="9" width="14.83203125" style="32" bestFit="1" customWidth="1"/>
    <col min="10" max="10" width="10.83203125" style="75"/>
    <col min="11" max="16384" width="10.83203125" style="30"/>
  </cols>
  <sheetData>
    <row r="1" spans="1:10" s="53" customFormat="1" ht="32" x14ac:dyDescent="0.2">
      <c r="A1" s="35" t="s">
        <v>26</v>
      </c>
      <c r="B1" s="35" t="s">
        <v>27</v>
      </c>
      <c r="C1" s="50" t="s">
        <v>100</v>
      </c>
      <c r="D1" s="35" t="s">
        <v>97</v>
      </c>
      <c r="E1" s="35" t="s">
        <v>79</v>
      </c>
      <c r="F1" s="35" t="s">
        <v>80</v>
      </c>
      <c r="G1" s="35" t="s">
        <v>126</v>
      </c>
      <c r="H1" s="35" t="s">
        <v>81</v>
      </c>
      <c r="I1" s="35" t="s">
        <v>93</v>
      </c>
      <c r="J1" s="76" t="s">
        <v>159</v>
      </c>
    </row>
    <row r="2" spans="1:10" s="53" customFormat="1" x14ac:dyDescent="0.2">
      <c r="A2" s="32">
        <v>14500</v>
      </c>
      <c r="B2" s="32" t="s">
        <v>101</v>
      </c>
      <c r="C2" s="31">
        <v>330758</v>
      </c>
      <c r="D2" s="31">
        <f>SUM(E2:H2)</f>
        <v>2689.2</v>
      </c>
      <c r="E2" s="31">
        <v>308</v>
      </c>
      <c r="F2" s="31">
        <v>858</v>
      </c>
      <c r="G2" s="54">
        <v>1109.2</v>
      </c>
      <c r="H2" s="31">
        <v>414</v>
      </c>
      <c r="I2" s="49">
        <v>1</v>
      </c>
      <c r="J2" s="77">
        <f>C2*0.1</f>
        <v>33075.800000000003</v>
      </c>
    </row>
    <row r="3" spans="1:10" s="53" customFormat="1" x14ac:dyDescent="0.2">
      <c r="A3" s="32">
        <v>19740</v>
      </c>
      <c r="B3" s="32" t="s">
        <v>46</v>
      </c>
      <c r="C3" s="31">
        <v>2963821</v>
      </c>
      <c r="D3" s="31">
        <f t="shared" ref="D3:D15" si="0">SUM(E3:H3)</f>
        <v>19015.68</v>
      </c>
      <c r="E3" s="31">
        <v>1481</v>
      </c>
      <c r="F3" s="31">
        <v>6477</v>
      </c>
      <c r="G3" s="54">
        <v>8057.6799999999994</v>
      </c>
      <c r="H3" s="31">
        <v>3000</v>
      </c>
      <c r="I3" s="49">
        <v>2</v>
      </c>
      <c r="J3" s="77">
        <f t="shared" ref="J3:J65" si="1">C3*0.1</f>
        <v>296382.10000000003</v>
      </c>
    </row>
    <row r="4" spans="1:10" s="53" customFormat="1" x14ac:dyDescent="0.2">
      <c r="A4" s="32">
        <v>17820</v>
      </c>
      <c r="B4" s="32" t="s">
        <v>102</v>
      </c>
      <c r="C4" s="31">
        <v>755105</v>
      </c>
      <c r="D4" s="31">
        <f t="shared" si="0"/>
        <v>4172.58</v>
      </c>
      <c r="E4" s="57">
        <v>332</v>
      </c>
      <c r="F4" s="57">
        <v>1337</v>
      </c>
      <c r="G4" s="54">
        <v>1980.58</v>
      </c>
      <c r="H4" s="57">
        <v>523</v>
      </c>
      <c r="I4" s="49">
        <v>4</v>
      </c>
      <c r="J4" s="77">
        <f t="shared" si="1"/>
        <v>75510.5</v>
      </c>
    </row>
    <row r="5" spans="1:10" s="53" customFormat="1" x14ac:dyDescent="0.2">
      <c r="A5" s="32">
        <v>22660</v>
      </c>
      <c r="B5" s="32" t="s">
        <v>103</v>
      </c>
      <c r="C5" s="31">
        <v>359066</v>
      </c>
      <c r="D5" s="31">
        <f t="shared" si="0"/>
        <v>2536.64</v>
      </c>
      <c r="E5" s="57">
        <v>227</v>
      </c>
      <c r="F5" s="57">
        <v>826</v>
      </c>
      <c r="G5" s="54">
        <v>1180.6399999999999</v>
      </c>
      <c r="H5" s="57">
        <v>303</v>
      </c>
      <c r="I5" s="49">
        <v>3</v>
      </c>
      <c r="J5" s="77">
        <f t="shared" si="1"/>
        <v>35906.6</v>
      </c>
    </row>
    <row r="6" spans="1:10" s="53" customFormat="1" x14ac:dyDescent="0.2">
      <c r="A6" s="32">
        <v>24540</v>
      </c>
      <c r="B6" s="32" t="s">
        <v>104</v>
      </c>
      <c r="C6" s="31">
        <v>328981</v>
      </c>
      <c r="D6" s="31">
        <f t="shared" si="0"/>
        <v>1280.94</v>
      </c>
      <c r="E6" s="57">
        <v>71</v>
      </c>
      <c r="F6" s="57">
        <v>447</v>
      </c>
      <c r="G6" s="54">
        <v>611.93999999999994</v>
      </c>
      <c r="H6" s="57">
        <v>151</v>
      </c>
      <c r="I6" s="49">
        <v>5</v>
      </c>
      <c r="J6" s="77">
        <f t="shared" si="1"/>
        <v>32898.1</v>
      </c>
    </row>
    <row r="7" spans="1:10" s="53" customFormat="1" x14ac:dyDescent="0.2">
      <c r="A7" s="32">
        <v>39380</v>
      </c>
      <c r="B7" s="32" t="s">
        <v>105</v>
      </c>
      <c r="C7" s="31">
        <v>217101</v>
      </c>
      <c r="D7" s="31">
        <f t="shared" si="0"/>
        <v>897.24</v>
      </c>
      <c r="E7" s="57">
        <v>43</v>
      </c>
      <c r="F7" s="57">
        <v>303</v>
      </c>
      <c r="G7" s="54">
        <v>466.23999999999995</v>
      </c>
      <c r="H7" s="57">
        <v>85</v>
      </c>
      <c r="I7" s="49">
        <v>5</v>
      </c>
      <c r="J7" s="77">
        <f t="shared" si="1"/>
        <v>21710.100000000002</v>
      </c>
    </row>
    <row r="8" spans="1:10" s="53" customFormat="1" x14ac:dyDescent="0.2">
      <c r="A8" s="32">
        <v>24300</v>
      </c>
      <c r="B8" s="32" t="s">
        <v>106</v>
      </c>
      <c r="C8" s="31">
        <v>155703</v>
      </c>
      <c r="D8" s="31">
        <f t="shared" si="0"/>
        <v>1002.92</v>
      </c>
      <c r="E8" s="57">
        <v>72</v>
      </c>
      <c r="F8" s="57">
        <v>283</v>
      </c>
      <c r="G8" s="54">
        <v>533.91999999999996</v>
      </c>
      <c r="H8" s="57">
        <v>114</v>
      </c>
      <c r="I8" s="49">
        <v>5</v>
      </c>
      <c r="J8" s="77">
        <f t="shared" si="1"/>
        <v>15570.300000000001</v>
      </c>
    </row>
    <row r="9" spans="1:10" s="53" customFormat="1" x14ac:dyDescent="0.2">
      <c r="A9" s="32">
        <v>20780</v>
      </c>
      <c r="B9" s="32" t="s">
        <v>107</v>
      </c>
      <c r="C9" s="31">
        <v>134774</v>
      </c>
      <c r="D9" s="31">
        <f t="shared" si="0"/>
        <v>758.59999999999991</v>
      </c>
      <c r="E9" s="57">
        <v>75</v>
      </c>
      <c r="F9" s="57">
        <v>241</v>
      </c>
      <c r="G9" s="54">
        <v>366.59999999999997</v>
      </c>
      <c r="H9" s="57">
        <v>76</v>
      </c>
      <c r="I9" s="49">
        <v>5</v>
      </c>
      <c r="J9" s="77">
        <f t="shared" si="1"/>
        <v>13477.400000000001</v>
      </c>
    </row>
    <row r="10" spans="1:10" s="53" customFormat="1" x14ac:dyDescent="0.2">
      <c r="A10" s="32">
        <v>20420</v>
      </c>
      <c r="B10" s="32" t="s">
        <v>108</v>
      </c>
      <c r="C10" s="31">
        <v>55638</v>
      </c>
      <c r="D10" s="31">
        <f t="shared" si="0"/>
        <v>565.24</v>
      </c>
      <c r="E10" s="57">
        <v>58</v>
      </c>
      <c r="F10" s="57">
        <v>177</v>
      </c>
      <c r="G10" s="54">
        <v>278.24</v>
      </c>
      <c r="H10" s="57">
        <v>52</v>
      </c>
      <c r="I10" s="49">
        <v>5</v>
      </c>
      <c r="J10" s="77">
        <f t="shared" si="1"/>
        <v>5563.8</v>
      </c>
    </row>
    <row r="11" spans="1:10" s="53" customFormat="1" x14ac:dyDescent="0.2">
      <c r="A11" s="32">
        <v>33940</v>
      </c>
      <c r="B11" s="32" t="s">
        <v>109</v>
      </c>
      <c r="C11" s="31">
        <v>47553</v>
      </c>
      <c r="D11" s="31">
        <f t="shared" si="0"/>
        <v>269.86</v>
      </c>
      <c r="E11" s="57">
        <v>21</v>
      </c>
      <c r="F11" s="57">
        <v>73</v>
      </c>
      <c r="G11" s="54">
        <v>158.85999999999999</v>
      </c>
      <c r="H11" s="57">
        <v>17</v>
      </c>
      <c r="I11" s="49">
        <v>5</v>
      </c>
      <c r="J11" s="77">
        <f t="shared" si="1"/>
        <v>4755.3</v>
      </c>
    </row>
    <row r="12" spans="1:10" s="53" customFormat="1" x14ac:dyDescent="0.2">
      <c r="A12" s="32">
        <v>44460</v>
      </c>
      <c r="B12" s="32" t="s">
        <v>110</v>
      </c>
      <c r="C12" s="31">
        <v>38121</v>
      </c>
      <c r="D12" s="31">
        <f t="shared" si="0"/>
        <v>401.24</v>
      </c>
      <c r="E12" s="57">
        <v>56</v>
      </c>
      <c r="F12" s="57">
        <v>116</v>
      </c>
      <c r="G12" s="54">
        <v>184.23999999999998</v>
      </c>
      <c r="H12" s="57">
        <v>45</v>
      </c>
      <c r="I12" s="49">
        <v>5</v>
      </c>
      <c r="J12" s="77">
        <f t="shared" si="1"/>
        <v>3812.1000000000004</v>
      </c>
    </row>
    <row r="13" spans="1:10" s="53" customFormat="1" x14ac:dyDescent="0.2">
      <c r="A13" s="32">
        <v>14720</v>
      </c>
      <c r="B13" s="32" t="s">
        <v>111</v>
      </c>
      <c r="C13" s="31">
        <v>31055</v>
      </c>
      <c r="D13" s="31">
        <f t="shared" si="0"/>
        <v>623.64</v>
      </c>
      <c r="E13" s="57">
        <v>49</v>
      </c>
      <c r="F13" s="57">
        <v>228</v>
      </c>
      <c r="G13" s="54">
        <v>287.64</v>
      </c>
      <c r="H13" s="57">
        <v>59</v>
      </c>
      <c r="I13" s="49">
        <v>5</v>
      </c>
      <c r="J13" s="77">
        <f t="shared" si="1"/>
        <v>3105.5</v>
      </c>
    </row>
    <row r="14" spans="1:10" s="53" customFormat="1" x14ac:dyDescent="0.2">
      <c r="A14" s="32">
        <v>22820</v>
      </c>
      <c r="B14" s="32" t="s">
        <v>112</v>
      </c>
      <c r="C14" s="31">
        <v>29111</v>
      </c>
      <c r="D14" s="31">
        <f t="shared" si="0"/>
        <v>155.36000000000001</v>
      </c>
      <c r="E14" s="57">
        <v>6</v>
      </c>
      <c r="F14" s="57">
        <v>52</v>
      </c>
      <c r="G14" s="54">
        <v>88.36</v>
      </c>
      <c r="H14" s="57">
        <v>9</v>
      </c>
      <c r="I14" s="49">
        <v>5</v>
      </c>
      <c r="J14" s="77">
        <f t="shared" si="1"/>
        <v>2911.1000000000004</v>
      </c>
    </row>
    <row r="15" spans="1:10" s="53" customFormat="1" x14ac:dyDescent="0.2">
      <c r="A15" s="32">
        <v>44540</v>
      </c>
      <c r="B15" s="32" t="s">
        <v>113</v>
      </c>
      <c r="C15" s="31">
        <v>21528</v>
      </c>
      <c r="D15" s="31">
        <f t="shared" si="0"/>
        <v>141.89999999999998</v>
      </c>
      <c r="E15" s="57">
        <v>5</v>
      </c>
      <c r="F15" s="57">
        <v>42</v>
      </c>
      <c r="G15" s="54">
        <v>79.899999999999991</v>
      </c>
      <c r="H15" s="57">
        <v>15</v>
      </c>
      <c r="I15" s="49">
        <v>5</v>
      </c>
      <c r="J15" s="77">
        <f t="shared" si="1"/>
        <v>2152.8000000000002</v>
      </c>
    </row>
    <row r="16" spans="1:10" x14ac:dyDescent="0.2">
      <c r="A16" s="32">
        <v>35620</v>
      </c>
      <c r="B16" s="32" t="s">
        <v>28</v>
      </c>
      <c r="C16" s="31">
        <v>20140470</v>
      </c>
      <c r="D16" s="31">
        <v>173355</v>
      </c>
      <c r="E16" s="31">
        <v>13684</v>
      </c>
      <c r="F16" s="31">
        <v>53027</v>
      </c>
      <c r="G16" s="54">
        <v>72505.01999999999</v>
      </c>
      <c r="H16" s="31">
        <v>29511</v>
      </c>
      <c r="I16" s="31">
        <v>6</v>
      </c>
      <c r="J16" s="77">
        <f t="shared" si="1"/>
        <v>2014047</v>
      </c>
    </row>
    <row r="17" spans="1:10" x14ac:dyDescent="0.2">
      <c r="A17" s="32">
        <v>31080</v>
      </c>
      <c r="B17" s="32" t="s">
        <v>29</v>
      </c>
      <c r="C17" s="31">
        <v>13200998</v>
      </c>
      <c r="D17" s="31">
        <v>101189</v>
      </c>
      <c r="E17" s="31">
        <v>20327</v>
      </c>
      <c r="F17" s="31">
        <v>31001</v>
      </c>
      <c r="G17" s="54">
        <v>35970.04</v>
      </c>
      <c r="H17" s="31">
        <v>11595</v>
      </c>
      <c r="I17" s="31">
        <v>6</v>
      </c>
      <c r="J17" s="77">
        <f t="shared" si="1"/>
        <v>1320099.8</v>
      </c>
    </row>
    <row r="18" spans="1:10" x14ac:dyDescent="0.2">
      <c r="A18" s="32">
        <v>16980</v>
      </c>
      <c r="B18" s="32" t="s">
        <v>30</v>
      </c>
      <c r="C18" s="31">
        <v>9618502</v>
      </c>
      <c r="D18" s="31">
        <v>59770</v>
      </c>
      <c r="E18" s="31">
        <v>4014</v>
      </c>
      <c r="F18" s="31">
        <v>20664</v>
      </c>
      <c r="G18" s="54">
        <v>24890.26</v>
      </c>
      <c r="H18" s="31">
        <v>8613</v>
      </c>
      <c r="I18" s="31">
        <v>6</v>
      </c>
      <c r="J18" s="77">
        <f t="shared" si="1"/>
        <v>961850.20000000007</v>
      </c>
    </row>
    <row r="19" spans="1:10" x14ac:dyDescent="0.2">
      <c r="A19" s="32">
        <v>19100</v>
      </c>
      <c r="B19" s="32" t="s">
        <v>31</v>
      </c>
      <c r="C19" s="31">
        <v>7637387</v>
      </c>
      <c r="D19" s="31">
        <v>42946</v>
      </c>
      <c r="E19" s="31">
        <v>2454</v>
      </c>
      <c r="F19" s="31">
        <v>15023</v>
      </c>
      <c r="G19" s="54">
        <v>19570.8</v>
      </c>
      <c r="H19" s="31">
        <v>4649</v>
      </c>
      <c r="I19" s="31">
        <v>7</v>
      </c>
      <c r="J19" s="77">
        <f t="shared" si="1"/>
        <v>763738.70000000007</v>
      </c>
    </row>
    <row r="20" spans="1:10" x14ac:dyDescent="0.2">
      <c r="A20" s="32">
        <v>26420</v>
      </c>
      <c r="B20" s="32" t="s">
        <v>32</v>
      </c>
      <c r="C20" s="31">
        <v>7122240</v>
      </c>
      <c r="D20" s="31">
        <v>37747</v>
      </c>
      <c r="E20" s="31">
        <v>1805</v>
      </c>
      <c r="F20" s="31">
        <v>12974</v>
      </c>
      <c r="G20" s="54">
        <v>17704.899999999998</v>
      </c>
      <c r="H20" s="31">
        <v>4133</v>
      </c>
      <c r="I20" s="31">
        <v>7</v>
      </c>
      <c r="J20" s="77">
        <f t="shared" si="1"/>
        <v>712224</v>
      </c>
    </row>
    <row r="21" spans="1:10" x14ac:dyDescent="0.2">
      <c r="A21" s="32">
        <v>47900</v>
      </c>
      <c r="B21" s="32" t="s">
        <v>33</v>
      </c>
      <c r="C21" s="31">
        <v>6385162</v>
      </c>
      <c r="D21" s="31">
        <v>36956</v>
      </c>
      <c r="E21" s="31">
        <v>2346</v>
      </c>
      <c r="F21" s="31">
        <v>13102</v>
      </c>
      <c r="G21" s="54">
        <v>14824.74</v>
      </c>
      <c r="H21" s="31">
        <v>5737</v>
      </c>
      <c r="I21" s="31">
        <v>6</v>
      </c>
      <c r="J21" s="77">
        <f t="shared" si="1"/>
        <v>638516.20000000007</v>
      </c>
    </row>
    <row r="22" spans="1:10" x14ac:dyDescent="0.2">
      <c r="A22" s="32">
        <v>37980</v>
      </c>
      <c r="B22" s="32" t="s">
        <v>34</v>
      </c>
      <c r="C22" s="31">
        <v>6245051</v>
      </c>
      <c r="D22" s="31">
        <v>41324</v>
      </c>
      <c r="E22" s="31">
        <v>2583</v>
      </c>
      <c r="F22" s="31">
        <v>13241</v>
      </c>
      <c r="G22" s="54">
        <v>17953.059999999998</v>
      </c>
      <c r="H22" s="31">
        <v>6401</v>
      </c>
      <c r="I22" s="31">
        <v>6</v>
      </c>
      <c r="J22" s="77">
        <f t="shared" si="1"/>
        <v>624505.1</v>
      </c>
    </row>
    <row r="23" spans="1:10" x14ac:dyDescent="0.2">
      <c r="A23" s="32">
        <v>12060</v>
      </c>
      <c r="B23" s="32" t="s">
        <v>35</v>
      </c>
      <c r="C23" s="31">
        <v>6089815</v>
      </c>
      <c r="D23" s="31">
        <v>37096</v>
      </c>
      <c r="E23" s="31">
        <v>2530</v>
      </c>
      <c r="F23" s="31">
        <v>12043</v>
      </c>
      <c r="G23" s="54">
        <v>16586.3</v>
      </c>
      <c r="H23" s="31">
        <v>4878</v>
      </c>
      <c r="I23" s="31">
        <v>7</v>
      </c>
      <c r="J23" s="77">
        <f t="shared" si="1"/>
        <v>608981.5</v>
      </c>
    </row>
    <row r="24" spans="1:10" x14ac:dyDescent="0.2">
      <c r="A24" s="32">
        <v>33100</v>
      </c>
      <c r="B24" s="32" t="s">
        <v>36</v>
      </c>
      <c r="C24" s="31">
        <v>6138333</v>
      </c>
      <c r="D24" s="31">
        <v>45241</v>
      </c>
      <c r="E24" s="31">
        <v>3340</v>
      </c>
      <c r="F24" s="31">
        <v>12283</v>
      </c>
      <c r="G24" s="54">
        <v>21761.94</v>
      </c>
      <c r="H24" s="31">
        <v>6467</v>
      </c>
      <c r="I24" s="31">
        <v>6</v>
      </c>
      <c r="J24" s="77">
        <f t="shared" si="1"/>
        <v>613833.30000000005</v>
      </c>
    </row>
    <row r="25" spans="1:10" x14ac:dyDescent="0.2">
      <c r="A25" s="32">
        <v>38060</v>
      </c>
      <c r="B25" s="32" t="s">
        <v>37</v>
      </c>
      <c r="C25" s="31">
        <v>4845832</v>
      </c>
      <c r="D25" s="31">
        <v>23991</v>
      </c>
      <c r="E25" s="31">
        <v>1573</v>
      </c>
      <c r="F25" s="31">
        <v>8225</v>
      </c>
      <c r="G25" s="54">
        <v>10595.68</v>
      </c>
      <c r="H25" s="31">
        <v>2921</v>
      </c>
      <c r="I25" s="31">
        <v>7</v>
      </c>
      <c r="J25" s="77">
        <f t="shared" si="1"/>
        <v>484583.2</v>
      </c>
    </row>
    <row r="26" spans="1:10" x14ac:dyDescent="0.2">
      <c r="A26" s="32">
        <v>14460</v>
      </c>
      <c r="B26" s="32" t="s">
        <v>38</v>
      </c>
      <c r="C26" s="31">
        <v>4941632</v>
      </c>
      <c r="D26" s="31">
        <v>36588</v>
      </c>
      <c r="E26" s="31">
        <v>2636</v>
      </c>
      <c r="F26" s="31">
        <v>12216</v>
      </c>
      <c r="G26" s="54">
        <v>15136.82</v>
      </c>
      <c r="H26" s="31">
        <v>5633</v>
      </c>
      <c r="I26" s="31">
        <v>6</v>
      </c>
      <c r="J26" s="77">
        <f t="shared" si="1"/>
        <v>494163.20000000001</v>
      </c>
    </row>
    <row r="27" spans="1:10" x14ac:dyDescent="0.2">
      <c r="A27" s="32">
        <v>40140</v>
      </c>
      <c r="B27" s="32" t="s">
        <v>39</v>
      </c>
      <c r="C27" s="31">
        <v>4599839</v>
      </c>
      <c r="D27" s="31">
        <v>20925</v>
      </c>
      <c r="E27" s="31">
        <v>1143</v>
      </c>
      <c r="F27" s="31">
        <v>7392</v>
      </c>
      <c r="G27" s="54">
        <v>9595.5199999999986</v>
      </c>
      <c r="H27" s="31">
        <v>2182</v>
      </c>
      <c r="I27" s="31">
        <v>7</v>
      </c>
      <c r="J27" s="77">
        <f t="shared" si="1"/>
        <v>459983.9</v>
      </c>
    </row>
    <row r="28" spans="1:10" x14ac:dyDescent="0.2">
      <c r="A28" s="32">
        <v>41860</v>
      </c>
      <c r="B28" s="32" t="s">
        <v>40</v>
      </c>
      <c r="C28" s="31">
        <v>4749008</v>
      </c>
      <c r="D28" s="31">
        <v>32900</v>
      </c>
      <c r="E28" s="31">
        <v>2367</v>
      </c>
      <c r="F28" s="31">
        <v>13166</v>
      </c>
      <c r="G28" s="54">
        <v>11998.16</v>
      </c>
      <c r="H28" s="31">
        <v>4603</v>
      </c>
      <c r="I28" s="31">
        <v>6</v>
      </c>
      <c r="J28" s="77">
        <f t="shared" si="1"/>
        <v>474900.80000000005</v>
      </c>
    </row>
    <row r="29" spans="1:10" x14ac:dyDescent="0.2">
      <c r="A29" s="32">
        <v>19820</v>
      </c>
      <c r="B29" s="32" t="s">
        <v>41</v>
      </c>
      <c r="C29" s="31">
        <v>4392041</v>
      </c>
      <c r="D29" s="31">
        <v>27436</v>
      </c>
      <c r="E29" s="31">
        <v>1370</v>
      </c>
      <c r="F29" s="31">
        <v>8434</v>
      </c>
      <c r="G29" s="54">
        <v>13789.8</v>
      </c>
      <c r="H29" s="31">
        <v>2962</v>
      </c>
      <c r="I29" s="31">
        <v>7</v>
      </c>
      <c r="J29" s="77">
        <f t="shared" si="1"/>
        <v>439204.10000000003</v>
      </c>
    </row>
    <row r="30" spans="1:10" x14ac:dyDescent="0.2">
      <c r="A30" s="32">
        <v>42660</v>
      </c>
      <c r="B30" s="32" t="s">
        <v>42</v>
      </c>
      <c r="C30" s="31">
        <v>4018762</v>
      </c>
      <c r="D30" s="31">
        <v>26095</v>
      </c>
      <c r="E30" s="31">
        <v>1823</v>
      </c>
      <c r="F30" s="31">
        <v>9539</v>
      </c>
      <c r="G30" s="54">
        <v>10089.019999999999</v>
      </c>
      <c r="H30" s="31">
        <v>4000</v>
      </c>
      <c r="I30" s="31">
        <v>7</v>
      </c>
      <c r="J30" s="77">
        <f t="shared" si="1"/>
        <v>401876.2</v>
      </c>
    </row>
    <row r="31" spans="1:10" x14ac:dyDescent="0.2">
      <c r="A31" s="32">
        <v>33460</v>
      </c>
      <c r="B31" s="32" t="s">
        <v>43</v>
      </c>
      <c r="C31" s="31">
        <v>3690261</v>
      </c>
      <c r="D31" s="31">
        <v>22234</v>
      </c>
      <c r="E31" s="31">
        <v>1912</v>
      </c>
      <c r="F31" s="31">
        <v>6827</v>
      </c>
      <c r="G31" s="54">
        <v>9628.42</v>
      </c>
      <c r="H31" s="31">
        <v>3252</v>
      </c>
      <c r="I31" s="31">
        <v>7</v>
      </c>
      <c r="J31" s="77">
        <f t="shared" si="1"/>
        <v>369026.10000000003</v>
      </c>
    </row>
    <row r="32" spans="1:10" x14ac:dyDescent="0.2">
      <c r="A32" s="32">
        <v>41740</v>
      </c>
      <c r="B32" s="32" t="s">
        <v>44</v>
      </c>
      <c r="C32" s="31">
        <v>3298634</v>
      </c>
      <c r="D32" s="31">
        <v>20955</v>
      </c>
      <c r="E32" s="31">
        <v>1411</v>
      </c>
      <c r="F32" s="31">
        <v>7409</v>
      </c>
      <c r="G32" s="54">
        <v>8614.16</v>
      </c>
      <c r="H32" s="31">
        <v>2971</v>
      </c>
      <c r="I32" s="31">
        <v>7</v>
      </c>
      <c r="J32" s="77">
        <f t="shared" si="1"/>
        <v>329863.40000000002</v>
      </c>
    </row>
    <row r="33" spans="1:10" x14ac:dyDescent="0.2">
      <c r="A33" s="32">
        <v>45300</v>
      </c>
      <c r="B33" s="32" t="s">
        <v>45</v>
      </c>
      <c r="C33" s="31">
        <v>3175275</v>
      </c>
      <c r="D33" s="31">
        <v>19596</v>
      </c>
      <c r="E33" s="31">
        <v>1270</v>
      </c>
      <c r="F33" s="31">
        <v>5567</v>
      </c>
      <c r="G33" s="54">
        <v>9647.2199999999993</v>
      </c>
      <c r="H33" s="31">
        <v>2496</v>
      </c>
      <c r="I33" s="31">
        <v>7</v>
      </c>
      <c r="J33" s="77">
        <f t="shared" si="1"/>
        <v>317527.5</v>
      </c>
    </row>
    <row r="34" spans="1:10" x14ac:dyDescent="0.2">
      <c r="A34" s="32">
        <v>19740</v>
      </c>
      <c r="B34" s="32" t="s">
        <v>46</v>
      </c>
      <c r="C34" s="31">
        <v>2963821</v>
      </c>
      <c r="D34" s="31">
        <v>19530</v>
      </c>
      <c r="E34" s="31">
        <v>1481</v>
      </c>
      <c r="F34" s="31">
        <v>6477</v>
      </c>
      <c r="G34" s="54">
        <v>8057.6799999999994</v>
      </c>
      <c r="H34" s="31">
        <v>3000</v>
      </c>
      <c r="I34" s="55" t="s">
        <v>117</v>
      </c>
      <c r="J34" s="77"/>
    </row>
    <row r="35" spans="1:10" x14ac:dyDescent="0.2">
      <c r="A35" s="32">
        <v>12580</v>
      </c>
      <c r="B35" s="32" t="s">
        <v>47</v>
      </c>
      <c r="C35" s="31">
        <v>2844510</v>
      </c>
      <c r="D35" s="31">
        <v>17531</v>
      </c>
      <c r="E35" s="31">
        <v>1125</v>
      </c>
      <c r="F35" s="31">
        <v>5747</v>
      </c>
      <c r="G35" s="54">
        <v>8001.28</v>
      </c>
      <c r="H35" s="31">
        <v>2147</v>
      </c>
      <c r="I35" s="31">
        <v>7</v>
      </c>
      <c r="J35" s="77">
        <f t="shared" si="1"/>
        <v>284451</v>
      </c>
    </row>
    <row r="36" spans="1:10" x14ac:dyDescent="0.2">
      <c r="A36" s="32">
        <v>41180</v>
      </c>
      <c r="B36" s="32" t="s">
        <v>48</v>
      </c>
      <c r="C36" s="31">
        <v>2820253</v>
      </c>
      <c r="D36" s="31">
        <v>17450</v>
      </c>
      <c r="E36" s="31">
        <v>1132</v>
      </c>
      <c r="F36" s="31">
        <v>5796</v>
      </c>
      <c r="G36" s="54">
        <v>8020.08</v>
      </c>
      <c r="H36" s="31">
        <v>1990</v>
      </c>
      <c r="I36" s="31">
        <v>7</v>
      </c>
      <c r="J36" s="77">
        <f t="shared" si="1"/>
        <v>282025.3</v>
      </c>
    </row>
    <row r="37" spans="1:10" x14ac:dyDescent="0.2">
      <c r="A37" s="32">
        <v>16740</v>
      </c>
      <c r="B37" s="32" t="s">
        <v>49</v>
      </c>
      <c r="C37" s="31">
        <v>2660329</v>
      </c>
      <c r="D37" s="31">
        <v>15964</v>
      </c>
      <c r="E37" s="31">
        <v>1160</v>
      </c>
      <c r="F37" s="31">
        <v>5086</v>
      </c>
      <c r="G37" s="54">
        <v>7347.98</v>
      </c>
      <c r="H37" s="31">
        <v>1901</v>
      </c>
      <c r="I37" s="31">
        <v>7</v>
      </c>
      <c r="J37" s="77">
        <f t="shared" si="1"/>
        <v>266032.90000000002</v>
      </c>
    </row>
    <row r="38" spans="1:10" x14ac:dyDescent="0.2">
      <c r="A38" s="32">
        <v>36740</v>
      </c>
      <c r="B38" s="32" t="s">
        <v>50</v>
      </c>
      <c r="C38" s="31">
        <v>2673376</v>
      </c>
      <c r="D38" s="31">
        <v>17128</v>
      </c>
      <c r="E38" s="31">
        <v>1272</v>
      </c>
      <c r="F38" s="31">
        <v>5181</v>
      </c>
      <c r="G38" s="54">
        <v>8119.7199999999993</v>
      </c>
      <c r="H38" s="31">
        <v>2037</v>
      </c>
      <c r="I38" s="31">
        <v>7</v>
      </c>
      <c r="J38" s="77">
        <f t="shared" si="1"/>
        <v>267337.60000000003</v>
      </c>
    </row>
    <row r="39" spans="1:10" x14ac:dyDescent="0.2">
      <c r="A39" s="32">
        <v>41700</v>
      </c>
      <c r="B39" s="32" t="s">
        <v>51</v>
      </c>
      <c r="C39" s="31">
        <v>2558143</v>
      </c>
      <c r="D39" s="31">
        <v>12989</v>
      </c>
      <c r="E39" s="32">
        <v>697</v>
      </c>
      <c r="F39" s="31">
        <v>4578</v>
      </c>
      <c r="G39" s="54">
        <v>5883.46</v>
      </c>
      <c r="H39" s="31">
        <v>1455</v>
      </c>
      <c r="I39" s="31">
        <v>7</v>
      </c>
      <c r="J39" s="77">
        <f t="shared" si="1"/>
        <v>255814.30000000002</v>
      </c>
    </row>
    <row r="40" spans="1:10" x14ac:dyDescent="0.2">
      <c r="A40" s="32">
        <v>38900</v>
      </c>
      <c r="B40" s="32" t="s">
        <v>52</v>
      </c>
      <c r="C40" s="31">
        <v>2512859</v>
      </c>
      <c r="D40" s="31">
        <v>16880</v>
      </c>
      <c r="E40" s="31">
        <v>1220</v>
      </c>
      <c r="F40" s="31">
        <v>6256</v>
      </c>
      <c r="G40" s="54">
        <v>6799.96</v>
      </c>
      <c r="H40" s="31">
        <v>2170</v>
      </c>
      <c r="I40" s="31">
        <v>7</v>
      </c>
      <c r="J40" s="77">
        <f t="shared" si="1"/>
        <v>251285.90000000002</v>
      </c>
    </row>
    <row r="41" spans="1:10" x14ac:dyDescent="0.2">
      <c r="A41" s="32">
        <v>40900</v>
      </c>
      <c r="B41" s="32" t="s">
        <v>53</v>
      </c>
      <c r="C41" s="31">
        <v>2397382</v>
      </c>
      <c r="D41" s="31">
        <v>12882</v>
      </c>
      <c r="E41" s="32">
        <v>763</v>
      </c>
      <c r="F41" s="31">
        <v>4706</v>
      </c>
      <c r="G41" s="54">
        <v>5393.7199999999993</v>
      </c>
      <c r="H41" s="31">
        <v>1675</v>
      </c>
      <c r="I41" s="31">
        <v>7</v>
      </c>
      <c r="J41" s="77">
        <f t="shared" si="1"/>
        <v>239738.2</v>
      </c>
    </row>
    <row r="42" spans="1:10" x14ac:dyDescent="0.2">
      <c r="A42" s="32">
        <v>38300</v>
      </c>
      <c r="B42" s="32" t="s">
        <v>54</v>
      </c>
      <c r="C42" s="31">
        <v>2370930</v>
      </c>
      <c r="D42" s="31">
        <v>16497</v>
      </c>
      <c r="E42" s="31">
        <v>1080</v>
      </c>
      <c r="F42" s="31">
        <v>5323</v>
      </c>
      <c r="G42" s="54">
        <v>7265.2599999999993</v>
      </c>
      <c r="H42" s="31">
        <v>2365</v>
      </c>
      <c r="I42" s="31">
        <v>7</v>
      </c>
      <c r="J42" s="77">
        <f t="shared" si="1"/>
        <v>237093</v>
      </c>
    </row>
    <row r="43" spans="1:10" x14ac:dyDescent="0.2">
      <c r="A43" s="32">
        <v>12420</v>
      </c>
      <c r="B43" s="32" t="s">
        <v>55</v>
      </c>
      <c r="C43" s="31">
        <v>2283371</v>
      </c>
      <c r="D43" s="31">
        <v>13915</v>
      </c>
      <c r="E43" s="31">
        <v>1077</v>
      </c>
      <c r="F43" s="31">
        <v>4774</v>
      </c>
      <c r="G43" s="54">
        <v>5837.4</v>
      </c>
      <c r="H43" s="31">
        <v>1854</v>
      </c>
      <c r="I43" s="32">
        <v>6</v>
      </c>
      <c r="J43" s="77">
        <f t="shared" si="1"/>
        <v>228337.1</v>
      </c>
    </row>
    <row r="44" spans="1:10" x14ac:dyDescent="0.2">
      <c r="A44" s="32">
        <v>29820</v>
      </c>
      <c r="B44" s="32" t="s">
        <v>56</v>
      </c>
      <c r="C44" s="31">
        <v>2265461</v>
      </c>
      <c r="D44" s="31">
        <v>13497</v>
      </c>
      <c r="E44" s="31">
        <v>1274</v>
      </c>
      <c r="F44" s="31">
        <v>4660</v>
      </c>
      <c r="G44" s="54">
        <v>5765.96</v>
      </c>
      <c r="H44" s="31">
        <v>1429</v>
      </c>
      <c r="I44" s="31">
        <v>7</v>
      </c>
      <c r="J44" s="77">
        <f t="shared" si="1"/>
        <v>226546.1</v>
      </c>
    </row>
    <row r="45" spans="1:10" x14ac:dyDescent="0.2">
      <c r="A45" s="32">
        <v>17140</v>
      </c>
      <c r="B45" s="32" t="s">
        <v>57</v>
      </c>
      <c r="C45" s="31">
        <v>2256884</v>
      </c>
      <c r="D45" s="31">
        <v>12651</v>
      </c>
      <c r="E45" s="32">
        <v>755</v>
      </c>
      <c r="F45" s="31">
        <v>4227</v>
      </c>
      <c r="G45" s="54">
        <v>5812.0199999999995</v>
      </c>
      <c r="H45" s="31">
        <v>1486</v>
      </c>
      <c r="I45" s="31">
        <v>7</v>
      </c>
      <c r="J45" s="77">
        <f t="shared" si="1"/>
        <v>225688.40000000002</v>
      </c>
    </row>
    <row r="46" spans="1:10" x14ac:dyDescent="0.2">
      <c r="A46" s="32">
        <v>28140</v>
      </c>
      <c r="B46" s="32" t="s">
        <v>58</v>
      </c>
      <c r="C46" s="31">
        <v>2192035</v>
      </c>
      <c r="D46" s="31">
        <v>12317</v>
      </c>
      <c r="E46" s="32">
        <v>790</v>
      </c>
      <c r="F46" s="31">
        <v>3940</v>
      </c>
      <c r="G46" s="54">
        <v>5700.16</v>
      </c>
      <c r="H46" s="31">
        <v>1523</v>
      </c>
      <c r="I46" s="31">
        <v>7</v>
      </c>
      <c r="J46" s="77">
        <f t="shared" si="1"/>
        <v>219203.5</v>
      </c>
    </row>
    <row r="47" spans="1:10" s="32" customFormat="1" x14ac:dyDescent="0.2">
      <c r="A47" s="32">
        <v>18140</v>
      </c>
      <c r="B47" s="32" t="s">
        <v>59</v>
      </c>
      <c r="C47" s="31">
        <v>2138926</v>
      </c>
      <c r="D47" s="31">
        <v>11691</v>
      </c>
      <c r="E47" s="32">
        <v>717</v>
      </c>
      <c r="F47" s="31">
        <v>4182</v>
      </c>
      <c r="G47" s="54">
        <v>5205.7199999999993</v>
      </c>
      <c r="H47" s="31">
        <v>1254</v>
      </c>
      <c r="I47" s="31">
        <v>7</v>
      </c>
      <c r="J47" s="77">
        <f t="shared" si="1"/>
        <v>213892.6</v>
      </c>
    </row>
    <row r="48" spans="1:10" s="32" customFormat="1" x14ac:dyDescent="0.2">
      <c r="A48" s="32">
        <v>26900</v>
      </c>
      <c r="B48" s="32" t="s">
        <v>60</v>
      </c>
      <c r="C48" s="31">
        <v>2111040</v>
      </c>
      <c r="D48" s="31">
        <v>12026</v>
      </c>
      <c r="E48" s="32">
        <v>839</v>
      </c>
      <c r="F48" s="31">
        <v>4055</v>
      </c>
      <c r="G48" s="54">
        <v>5420.98</v>
      </c>
      <c r="H48" s="31">
        <v>1365</v>
      </c>
      <c r="I48" s="31">
        <v>7</v>
      </c>
      <c r="J48" s="77">
        <f t="shared" si="1"/>
        <v>211104</v>
      </c>
    </row>
    <row r="49" spans="1:10" s="32" customFormat="1" x14ac:dyDescent="0.2">
      <c r="A49" s="32">
        <v>17460</v>
      </c>
      <c r="B49" s="32" t="s">
        <v>61</v>
      </c>
      <c r="C49" s="31">
        <v>2088251</v>
      </c>
      <c r="D49" s="31">
        <v>13204</v>
      </c>
      <c r="E49" s="32">
        <v>753</v>
      </c>
      <c r="F49" s="31">
        <v>4367</v>
      </c>
      <c r="G49" s="54">
        <v>5909.78</v>
      </c>
      <c r="H49" s="31">
        <v>1797</v>
      </c>
      <c r="I49" s="31">
        <v>7</v>
      </c>
      <c r="J49" s="77">
        <f t="shared" si="1"/>
        <v>208825.1</v>
      </c>
    </row>
    <row r="50" spans="1:10" s="32" customFormat="1" x14ac:dyDescent="0.2">
      <c r="A50" s="32">
        <v>34980</v>
      </c>
      <c r="B50" s="32" t="s">
        <v>62</v>
      </c>
      <c r="C50" s="31">
        <v>1989519</v>
      </c>
      <c r="D50" s="31">
        <v>13023</v>
      </c>
      <c r="E50" s="31">
        <v>1489</v>
      </c>
      <c r="F50" s="31">
        <v>4040</v>
      </c>
      <c r="G50" s="54">
        <v>5885.3399999999992</v>
      </c>
      <c r="H50" s="31">
        <v>1233</v>
      </c>
      <c r="I50" s="31">
        <v>7</v>
      </c>
      <c r="J50" s="77">
        <f t="shared" si="1"/>
        <v>198951.90000000002</v>
      </c>
    </row>
    <row r="51" spans="1:10" s="32" customFormat="1" x14ac:dyDescent="0.2">
      <c r="A51" s="32">
        <v>41940</v>
      </c>
      <c r="B51" s="32" t="s">
        <v>63</v>
      </c>
      <c r="C51" s="31">
        <v>2000468</v>
      </c>
      <c r="D51" s="31">
        <v>11966</v>
      </c>
      <c r="E51" s="32">
        <v>716</v>
      </c>
      <c r="F51" s="31">
        <v>5008</v>
      </c>
      <c r="G51" s="54">
        <v>4290.16</v>
      </c>
      <c r="H51" s="31">
        <v>1678</v>
      </c>
      <c r="I51" s="31">
        <v>7</v>
      </c>
      <c r="J51" s="77">
        <f t="shared" si="1"/>
        <v>200046.80000000002</v>
      </c>
    </row>
    <row r="52" spans="1:10" s="32" customFormat="1" x14ac:dyDescent="0.2">
      <c r="A52" s="32">
        <v>47260</v>
      </c>
      <c r="B52" s="32" t="s">
        <v>64</v>
      </c>
      <c r="C52" s="31">
        <v>1799674</v>
      </c>
      <c r="D52" s="31">
        <v>11345</v>
      </c>
      <c r="E52" s="32">
        <v>621</v>
      </c>
      <c r="F52" s="31">
        <v>3768</v>
      </c>
      <c r="G52" s="54">
        <v>5154.0199999999995</v>
      </c>
      <c r="H52" s="31">
        <v>1473</v>
      </c>
      <c r="I52" s="31">
        <v>7</v>
      </c>
      <c r="J52" s="77">
        <f t="shared" si="1"/>
        <v>179967.40000000002</v>
      </c>
    </row>
    <row r="53" spans="1:10" s="32" customFormat="1" x14ac:dyDescent="0.2">
      <c r="A53" s="32">
        <v>39300</v>
      </c>
      <c r="B53" s="32" t="s">
        <v>65</v>
      </c>
      <c r="C53" s="31">
        <v>1676579</v>
      </c>
      <c r="D53" s="31">
        <v>12291</v>
      </c>
      <c r="E53" s="32">
        <v>811</v>
      </c>
      <c r="F53" s="31">
        <v>4177</v>
      </c>
      <c r="G53" s="54">
        <v>5373.04</v>
      </c>
      <c r="H53" s="31">
        <v>1587</v>
      </c>
      <c r="I53" s="31">
        <v>7</v>
      </c>
      <c r="J53" s="77">
        <f t="shared" si="1"/>
        <v>167657.90000000002</v>
      </c>
    </row>
    <row r="54" spans="1:10" s="32" customFormat="1" x14ac:dyDescent="0.2">
      <c r="A54" s="32">
        <v>27260</v>
      </c>
      <c r="B54" s="32" t="s">
        <v>66</v>
      </c>
      <c r="C54" s="31">
        <v>1605848</v>
      </c>
      <c r="D54" s="31">
        <v>10232</v>
      </c>
      <c r="E54" s="32">
        <v>611</v>
      </c>
      <c r="F54" s="31">
        <v>3081</v>
      </c>
      <c r="G54" s="54">
        <v>4828.78</v>
      </c>
      <c r="H54" s="31">
        <v>1403</v>
      </c>
      <c r="I54" s="31">
        <v>7</v>
      </c>
      <c r="J54" s="77">
        <f t="shared" si="1"/>
        <v>160584.80000000002</v>
      </c>
    </row>
    <row r="55" spans="1:10" s="32" customFormat="1" x14ac:dyDescent="0.2">
      <c r="A55" s="32">
        <v>33340</v>
      </c>
      <c r="B55" s="32" t="s">
        <v>67</v>
      </c>
      <c r="C55" s="31">
        <v>1574731</v>
      </c>
      <c r="D55" s="31">
        <v>9777</v>
      </c>
      <c r="E55" s="32">
        <v>709</v>
      </c>
      <c r="F55" s="31">
        <v>3326</v>
      </c>
      <c r="G55" s="54">
        <v>4200.8599999999997</v>
      </c>
      <c r="H55" s="31">
        <v>1273</v>
      </c>
      <c r="I55" s="31">
        <v>7</v>
      </c>
      <c r="J55" s="77">
        <f t="shared" si="1"/>
        <v>157473.1</v>
      </c>
    </row>
    <row r="56" spans="1:10" s="32" customFormat="1" x14ac:dyDescent="0.2">
      <c r="A56" s="32">
        <v>39580</v>
      </c>
      <c r="B56" s="32" t="s">
        <v>68</v>
      </c>
      <c r="C56" s="31">
        <v>1413982</v>
      </c>
      <c r="D56" s="31">
        <v>8511</v>
      </c>
      <c r="E56" s="32">
        <v>561</v>
      </c>
      <c r="F56" s="31">
        <v>2722</v>
      </c>
      <c r="G56" s="54">
        <v>3914.16</v>
      </c>
      <c r="H56" s="31">
        <v>1064</v>
      </c>
      <c r="I56" s="31">
        <v>7</v>
      </c>
      <c r="J56" s="77">
        <f t="shared" si="1"/>
        <v>141398.20000000001</v>
      </c>
    </row>
    <row r="57" spans="1:10" s="32" customFormat="1" x14ac:dyDescent="0.2">
      <c r="A57" s="32">
        <v>36420</v>
      </c>
      <c r="B57" s="32" t="s">
        <v>69</v>
      </c>
      <c r="C57" s="31">
        <v>1425695</v>
      </c>
      <c r="D57" s="31">
        <v>8704</v>
      </c>
      <c r="E57" s="32">
        <v>438</v>
      </c>
      <c r="F57" s="31">
        <v>2974</v>
      </c>
      <c r="G57" s="54">
        <v>4207.4399999999996</v>
      </c>
      <c r="H57" s="32">
        <v>816</v>
      </c>
      <c r="I57" s="31">
        <v>7</v>
      </c>
      <c r="J57" s="77">
        <f t="shared" si="1"/>
        <v>142569.5</v>
      </c>
    </row>
    <row r="58" spans="1:10" s="32" customFormat="1" x14ac:dyDescent="0.2">
      <c r="A58" s="32">
        <v>32820</v>
      </c>
      <c r="B58" s="32" t="s">
        <v>70</v>
      </c>
      <c r="C58" s="31">
        <v>1337779</v>
      </c>
      <c r="D58" s="31">
        <v>7528</v>
      </c>
      <c r="E58" s="32">
        <v>340</v>
      </c>
      <c r="F58" s="31">
        <v>2344</v>
      </c>
      <c r="G58" s="54">
        <v>3948.9399999999996</v>
      </c>
      <c r="H58" s="32">
        <v>643</v>
      </c>
      <c r="I58" s="31">
        <v>7</v>
      </c>
      <c r="J58" s="77">
        <f t="shared" si="1"/>
        <v>133777.9</v>
      </c>
    </row>
    <row r="59" spans="1:10" s="32" customFormat="1" x14ac:dyDescent="0.2">
      <c r="A59" s="32">
        <v>40060</v>
      </c>
      <c r="B59" s="32" t="s">
        <v>71</v>
      </c>
      <c r="C59" s="31">
        <v>1314434</v>
      </c>
      <c r="D59" s="31">
        <v>8411</v>
      </c>
      <c r="E59" s="32">
        <v>524</v>
      </c>
      <c r="F59" s="31">
        <v>2603</v>
      </c>
      <c r="G59" s="54">
        <v>3892.54</v>
      </c>
      <c r="H59" s="31">
        <v>1143</v>
      </c>
      <c r="I59" s="31">
        <v>7</v>
      </c>
      <c r="J59" s="77">
        <f t="shared" si="1"/>
        <v>131443.4</v>
      </c>
    </row>
    <row r="60" spans="1:10" s="32" customFormat="1" x14ac:dyDescent="0.2">
      <c r="A60" s="32">
        <v>31140</v>
      </c>
      <c r="B60" s="32" t="s">
        <v>72</v>
      </c>
      <c r="C60" s="31">
        <v>1285439</v>
      </c>
      <c r="D60" s="31">
        <v>7736</v>
      </c>
      <c r="E60" s="32">
        <v>485</v>
      </c>
      <c r="F60" s="31">
        <v>2442</v>
      </c>
      <c r="G60" s="54">
        <v>3780.68</v>
      </c>
      <c r="H60" s="32">
        <v>787</v>
      </c>
      <c r="I60" s="31">
        <v>7</v>
      </c>
      <c r="J60" s="77">
        <f t="shared" si="1"/>
        <v>128543.90000000001</v>
      </c>
    </row>
    <row r="61" spans="1:10" s="32" customFormat="1" x14ac:dyDescent="0.2">
      <c r="A61" s="32">
        <v>41620</v>
      </c>
      <c r="B61" s="32" t="s">
        <v>73</v>
      </c>
      <c r="C61" s="31">
        <v>1257936</v>
      </c>
      <c r="D61" s="31">
        <v>7422</v>
      </c>
      <c r="E61" s="32">
        <v>457</v>
      </c>
      <c r="F61" s="31">
        <v>2379</v>
      </c>
      <c r="G61" s="54">
        <v>3372.72</v>
      </c>
      <c r="H61" s="32">
        <v>998</v>
      </c>
      <c r="I61" s="31">
        <v>7</v>
      </c>
      <c r="J61" s="77">
        <f t="shared" si="1"/>
        <v>125793.60000000001</v>
      </c>
    </row>
    <row r="62" spans="1:10" s="32" customFormat="1" x14ac:dyDescent="0.2">
      <c r="A62" s="32">
        <v>35380</v>
      </c>
      <c r="B62" s="32" t="s">
        <v>74</v>
      </c>
      <c r="C62" s="31">
        <v>1271845</v>
      </c>
      <c r="D62" s="31">
        <v>9189</v>
      </c>
      <c r="E62" s="32">
        <v>585</v>
      </c>
      <c r="F62" s="31">
        <v>3325</v>
      </c>
      <c r="G62" s="54">
        <v>4127.54</v>
      </c>
      <c r="H62" s="32">
        <v>888</v>
      </c>
      <c r="I62" s="31">
        <v>7</v>
      </c>
      <c r="J62" s="77">
        <f t="shared" si="1"/>
        <v>127184.5</v>
      </c>
    </row>
    <row r="63" spans="1:10" x14ac:dyDescent="0.2">
      <c r="A63" s="32">
        <v>25540</v>
      </c>
      <c r="B63" s="32" t="s">
        <v>75</v>
      </c>
      <c r="C63" s="31">
        <v>1213531</v>
      </c>
      <c r="D63" s="31">
        <v>8504</v>
      </c>
      <c r="E63" s="32">
        <v>541</v>
      </c>
      <c r="F63" s="31">
        <v>2715</v>
      </c>
      <c r="G63" s="54">
        <v>3745.8999999999996</v>
      </c>
      <c r="H63" s="31">
        <v>1263</v>
      </c>
      <c r="I63" s="31">
        <v>7</v>
      </c>
      <c r="J63" s="77">
        <f t="shared" si="1"/>
        <v>121353.1</v>
      </c>
    </row>
    <row r="64" spans="1:10" x14ac:dyDescent="0.2">
      <c r="A64" s="32">
        <v>15380</v>
      </c>
      <c r="B64" s="32" t="s">
        <v>76</v>
      </c>
      <c r="C64" s="31">
        <v>1166902</v>
      </c>
      <c r="D64" s="31">
        <v>8151</v>
      </c>
      <c r="E64" s="32">
        <v>473</v>
      </c>
      <c r="F64" s="31">
        <v>2719</v>
      </c>
      <c r="G64" s="54">
        <v>3690.4399999999996</v>
      </c>
      <c r="H64" s="31">
        <v>1033</v>
      </c>
      <c r="I64" s="31">
        <v>7</v>
      </c>
      <c r="J64" s="77">
        <f t="shared" si="1"/>
        <v>116690.20000000001</v>
      </c>
    </row>
    <row r="65" spans="1:10" x14ac:dyDescent="0.2">
      <c r="A65" s="32">
        <v>13820</v>
      </c>
      <c r="B65" s="32" t="s">
        <v>77</v>
      </c>
      <c r="C65" s="31">
        <v>1115289</v>
      </c>
      <c r="D65" s="31">
        <v>7170</v>
      </c>
      <c r="E65" s="32">
        <v>349</v>
      </c>
      <c r="F65" s="31">
        <v>2064</v>
      </c>
      <c r="G65" s="54">
        <v>3877.5</v>
      </c>
      <c r="H65" s="32">
        <v>632</v>
      </c>
      <c r="I65" s="31">
        <v>7</v>
      </c>
      <c r="J65" s="77">
        <f t="shared" si="1"/>
        <v>111528.90000000001</v>
      </c>
    </row>
    <row r="66" spans="1:10" x14ac:dyDescent="0.2">
      <c r="J66" s="77"/>
    </row>
    <row r="67" spans="1:10" x14ac:dyDescent="0.2">
      <c r="B67" s="34" t="s">
        <v>78</v>
      </c>
      <c r="C67" s="38">
        <f>SUM(C16:C65)</f>
        <v>182876464</v>
      </c>
      <c r="D67" s="38">
        <v>1192456</v>
      </c>
      <c r="E67" s="38">
        <v>94433</v>
      </c>
      <c r="F67" s="38">
        <v>391175</v>
      </c>
      <c r="G67" s="38">
        <f>SUM(G2:G65)</f>
        <v>529077.11999999988</v>
      </c>
      <c r="H67" s="38">
        <v>160366</v>
      </c>
      <c r="J67" s="77"/>
    </row>
    <row r="68" spans="1:10" x14ac:dyDescent="0.2">
      <c r="D68" s="31"/>
      <c r="E68" s="33">
        <v>0.08</v>
      </c>
      <c r="F68" s="33">
        <v>0.33</v>
      </c>
      <c r="G68" s="33">
        <v>0.46</v>
      </c>
      <c r="H68" s="33">
        <v>0.13</v>
      </c>
      <c r="J68" s="77"/>
    </row>
    <row r="69" spans="1:10" x14ac:dyDescent="0.2">
      <c r="D69" s="31"/>
      <c r="E69" s="33"/>
      <c r="F69" s="33"/>
      <c r="G69" s="33"/>
      <c r="H69" s="33"/>
      <c r="J69" s="77"/>
    </row>
    <row r="70" spans="1:10" s="37" customFormat="1" x14ac:dyDescent="0.2">
      <c r="A70" s="34"/>
      <c r="B70" s="34" t="s">
        <v>123</v>
      </c>
      <c r="C70" s="38">
        <v>103228092</v>
      </c>
      <c r="D70" s="38">
        <f>D73-D67</f>
        <v>806800</v>
      </c>
      <c r="E70" s="38">
        <f t="shared" ref="E70:H70" si="2">E73-E67</f>
        <v>49471</v>
      </c>
      <c r="F70" s="38">
        <f t="shared" si="2"/>
        <v>249631</v>
      </c>
      <c r="G70" s="38">
        <f>G73-G67</f>
        <v>389514.88000000012</v>
      </c>
      <c r="H70" s="38">
        <f t="shared" si="2"/>
        <v>76954</v>
      </c>
      <c r="I70" s="32">
        <v>8</v>
      </c>
      <c r="J70" s="77">
        <f t="shared" ref="J70" si="3">C70*0.1</f>
        <v>10322809.200000001</v>
      </c>
    </row>
    <row r="71" spans="1:10" s="37" customFormat="1" x14ac:dyDescent="0.2">
      <c r="A71" s="34"/>
      <c r="B71" s="34"/>
      <c r="C71" s="31"/>
      <c r="D71" s="38"/>
      <c r="E71" s="48">
        <f>E70/$D$70</f>
        <v>6.1317550818046601E-2</v>
      </c>
      <c r="F71" s="48">
        <f t="shared" ref="F71:H71" si="4">F70/$D$70</f>
        <v>0.30940877540902328</v>
      </c>
      <c r="G71" s="48">
        <f t="shared" si="4"/>
        <v>0.48278988596926142</v>
      </c>
      <c r="H71" s="48">
        <f t="shared" si="4"/>
        <v>9.5381755081804659E-2</v>
      </c>
      <c r="I71" s="34"/>
      <c r="J71" s="78"/>
    </row>
    <row r="72" spans="1:10" x14ac:dyDescent="0.2">
      <c r="D72" s="31"/>
    </row>
    <row r="73" spans="1:10" x14ac:dyDescent="0.2">
      <c r="B73" s="34" t="s">
        <v>82</v>
      </c>
      <c r="C73" s="38">
        <f>C67+C70</f>
        <v>286104556</v>
      </c>
      <c r="D73" s="38">
        <v>1999256</v>
      </c>
      <c r="E73" s="38">
        <v>143904</v>
      </c>
      <c r="F73" s="38">
        <v>640806</v>
      </c>
      <c r="G73" s="38">
        <v>918592</v>
      </c>
      <c r="H73" s="38">
        <v>237320</v>
      </c>
    </row>
    <row r="74" spans="1:10" x14ac:dyDescent="0.2">
      <c r="E74" s="33">
        <v>7.0000000000000007E-2</v>
      </c>
      <c r="F74" s="33">
        <v>0.32</v>
      </c>
      <c r="G74" s="33">
        <v>0.49</v>
      </c>
      <c r="H74" s="33">
        <v>0.12</v>
      </c>
    </row>
    <row r="75" spans="1:10" x14ac:dyDescent="0.2">
      <c r="A75" s="112" t="s">
        <v>128</v>
      </c>
      <c r="B75" s="112"/>
    </row>
    <row r="76" spans="1:10" x14ac:dyDescent="0.2">
      <c r="A76" s="60" t="s">
        <v>127</v>
      </c>
    </row>
  </sheetData>
  <mergeCells count="1">
    <mergeCell ref="A75:B7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Acquisition</vt:lpstr>
      <vt:lpstr> Inputs</vt:lpstr>
      <vt:lpstr>Summary</vt:lpstr>
      <vt:lpstr>Subscription</vt:lpstr>
      <vt:lpstr>Transactions</vt:lpstr>
      <vt:lpstr>Subscriptions</vt:lpstr>
      <vt:lpstr>Expenses Yr1-2</vt:lpstr>
      <vt:lpstr>Headcount Yr1-2</vt:lpstr>
      <vt:lpstr>Charts</vt:lpstr>
      <vt:lpstr>Merchants</vt:lpstr>
      <vt:lpstr>Users</vt:lpstr>
      <vt:lpstr>MSAs</vt:lpstr>
      <vt:lpstr>churn1</vt:lpstr>
      <vt:lpstr>churn2</vt:lpstr>
      <vt:lpstr>churn3</vt:lpstr>
      <vt:lpstr>churn4</vt:lpstr>
      <vt:lpstr>churn5</vt:lpstr>
      <vt:lpstr>churn6</vt:lpstr>
      <vt:lpstr>churn7</vt:lpstr>
      <vt:lpstr>Acquisition!Print_Area</vt:lpstr>
      <vt:lpstr>Subscriptions!Print_Area</vt:lpstr>
      <vt:lpstr>Summary!Print_Area</vt:lpstr>
      <vt:lpstr>Transactions!Print_Area</vt:lpstr>
      <vt:lpstr>Acquisition!Print_Titles</vt:lpstr>
      <vt:lpstr>Subscriptions!Print_Titles</vt:lpstr>
      <vt:lpstr>Summary!Print_Titles</vt:lpstr>
      <vt:lpstr>Transactions!Print_Titles</vt:lpstr>
      <vt:lpstr>users_y1</vt:lpstr>
      <vt:lpstr>users_y2</vt:lpstr>
      <vt:lpstr>users_y3</vt:lpstr>
      <vt:lpstr>users_y4</vt:lpstr>
      <vt:lpstr>users_y5</vt:lpstr>
      <vt:lpstr>users_y6</vt:lpstr>
      <vt:lpstr>users_y7</vt:lpstr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Ritzer</dc:creator>
  <cp:lastModifiedBy>Josh Ritzer</cp:lastModifiedBy>
  <cp:lastPrinted>2023-05-09T13:25:13Z</cp:lastPrinted>
  <dcterms:created xsi:type="dcterms:W3CDTF">2020-05-23T16:55:20Z</dcterms:created>
  <dcterms:modified xsi:type="dcterms:W3CDTF">2026-02-26T19:33:53Z</dcterms:modified>
</cp:coreProperties>
</file>