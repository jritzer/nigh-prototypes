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joshritzer/Desktop/Nigh old docs/"/>
    </mc:Choice>
  </mc:AlternateContent>
  <xr:revisionPtr revIDLastSave="0" documentId="13_ncr:1_{4E20FE87-F61F-7847-B926-94A6D35A1117}" xr6:coauthVersionLast="47" xr6:coauthVersionMax="47" xr10:uidLastSave="{00000000-0000-0000-0000-000000000000}"/>
  <bookViews>
    <workbookView xWindow="3880" yWindow="1640" windowWidth="29320" windowHeight="18700" tabRatio="500" firstSheet="1" activeTab="1" xr2:uid="{00000000-000D-0000-FFFF-FFFF00000000}"/>
  </bookViews>
  <sheets>
    <sheet name="Feature List" sheetId="1" r:id="rId1"/>
    <sheet name="Subscription Plans (4-Tier)" sheetId="12" r:id="rId2"/>
    <sheet name="Category Subscription Matrix" sheetId="3" r:id="rId3"/>
    <sheet name="v1 Subscription Plan-OLD" sheetId="2" r:id="rId4"/>
    <sheet name="Pricing Tiers-OLD" sheetId="4" r:id="rId5"/>
    <sheet name="Card Fee Model" sheetId="7" r:id="rId6"/>
    <sheet name="Capability Analysis" sheetId="9" r:id="rId7"/>
    <sheet name="Strategy Summary" sheetId="10" r:id="rId8"/>
  </sheets>
  <definedNames>
    <definedName name="_xlnm._FilterDatabase" localSheetId="1" hidden="1">'Subscription Plans (4-Tier)'!$A$5:$F$123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7" l="1"/>
  <c r="E23" i="7"/>
  <c r="G23" i="7" s="1"/>
  <c r="F22" i="7"/>
  <c r="E22" i="7"/>
  <c r="G22" i="7" s="1"/>
  <c r="F21" i="7"/>
  <c r="E21" i="7"/>
  <c r="G21" i="7" s="1"/>
  <c r="F20" i="7"/>
  <c r="E20" i="7"/>
  <c r="G20" i="7" s="1"/>
  <c r="G19" i="7"/>
  <c r="F19" i="7"/>
  <c r="E19" i="7"/>
  <c r="F18" i="7"/>
  <c r="E18" i="7"/>
  <c r="G18" i="7" s="1"/>
  <c r="F17" i="7"/>
  <c r="E17" i="7"/>
  <c r="G17" i="7" s="1"/>
  <c r="F16" i="7"/>
  <c r="E16" i="7"/>
  <c r="G16" i="7" s="1"/>
  <c r="F15" i="7"/>
  <c r="E15" i="7"/>
  <c r="G15" i="7" s="1"/>
  <c r="F14" i="7"/>
  <c r="G14" i="7" s="1"/>
  <c r="E14" i="7"/>
  <c r="E24" i="7" s="1"/>
  <c r="H15" i="7" l="1"/>
  <c r="I15" i="7" s="1"/>
  <c r="H14" i="7"/>
  <c r="G24" i="7"/>
  <c r="E28" i="7" s="1"/>
  <c r="I19" i="7"/>
  <c r="H20" i="7"/>
  <c r="I20" i="7" s="1"/>
  <c r="H16" i="7"/>
  <c r="I16" i="7" s="1"/>
  <c r="H21" i="7"/>
  <c r="I21" i="7" s="1"/>
  <c r="H17" i="7"/>
  <c r="I17" i="7" s="1"/>
  <c r="H22" i="7"/>
  <c r="I22" i="7" s="1"/>
  <c r="H18" i="7"/>
  <c r="I18" i="7" s="1"/>
  <c r="H23" i="7"/>
  <c r="I23" i="7" s="1"/>
  <c r="F24" i="7"/>
  <c r="H19" i="7"/>
  <c r="K17" i="7" l="1"/>
  <c r="J17" i="7"/>
  <c r="L17" i="7"/>
  <c r="L20" i="7"/>
  <c r="K20" i="7"/>
  <c r="J20" i="7"/>
  <c r="L18" i="7"/>
  <c r="K18" i="7"/>
  <c r="J18" i="7"/>
  <c r="K22" i="7"/>
  <c r="J22" i="7"/>
  <c r="L22" i="7"/>
  <c r="L21" i="7"/>
  <c r="K21" i="7"/>
  <c r="J21" i="7"/>
  <c r="L16" i="7"/>
  <c r="K16" i="7"/>
  <c r="J16" i="7"/>
  <c r="L23" i="7"/>
  <c r="K23" i="7"/>
  <c r="J23" i="7"/>
  <c r="L15" i="7"/>
  <c r="K15" i="7"/>
  <c r="J15" i="7"/>
  <c r="H24" i="7"/>
  <c r="I14" i="7"/>
  <c r="L19" i="7"/>
  <c r="K19" i="7"/>
  <c r="J19" i="7"/>
  <c r="L14" i="7" l="1"/>
  <c r="L24" i="7" s="1"/>
  <c r="K14" i="7"/>
  <c r="K24" i="7" s="1"/>
  <c r="J14" i="7"/>
  <c r="I24" i="7"/>
  <c r="E29" i="7" l="1"/>
  <c r="J24" i="7"/>
  <c r="E30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5" authorId="0" shapeId="0" xr:uid="{00000000-0006-0000-0600-000001000000}">
      <text>
        <r>
          <rPr>
            <sz val="11"/>
            <color theme="1"/>
            <rFont val="Calibri"/>
            <family val="2"/>
            <charset val="1"/>
          </rPr>
          <t>Typical merchant processing fees often range roughly 1.5% to 4.0% of transaction value. Sources: https://www.forbes.com/advisor/business/credit-card-processing-fees/ ; https://www.bankrate.com/credit-cards/business/merchants-guide-to-credit-card-processing-fees/</t>
        </r>
      </text>
    </comment>
    <comment ref="F5" authorId="0" shapeId="0" xr:uid="{00000000-0006-0000-0600-000002000000}">
      <text>
        <r>
          <rPr>
            <sz val="11"/>
            <color theme="1"/>
            <rFont val="Calibri"/>
            <family val="2"/>
            <charset val="1"/>
          </rPr>
          <t>NRF swipe fee total source: https://nrf.com/advocacy/policy-issues/swipe-fees</t>
        </r>
      </text>
    </comment>
  </commentList>
</comments>
</file>

<file path=xl/sharedStrings.xml><?xml version="1.0" encoding="utf-8"?>
<sst xmlns="http://schemas.openxmlformats.org/spreadsheetml/2006/main" count="3566" uniqueCount="1195">
  <si>
    <t>Nigh Host — 4-Tier Subscription Plans</t>
  </si>
  <si>
    <t>Free / Plus / Pro / Enterprise. Weekly drop caps reset Sunday midnight local time. Broadcast window = max time before drop start that it appears in feeds.</t>
  </si>
  <si>
    <t>Niya is the same everywhere — she operates within the capabilities your subscription unlocks. Transaction fees apply to paid drops only.</t>
  </si>
  <si>
    <t>Capability</t>
  </si>
  <si>
    <t>Plus
~$39/mo</t>
  </si>
  <si>
    <t>Pro
~$79/mo</t>
  </si>
  <si>
    <t>Enterprise
Custom</t>
  </si>
  <si>
    <t>Notes</t>
  </si>
  <si>
    <t>PRICING &amp; FEES</t>
  </si>
  <si>
    <t>Monthly subscription</t>
  </si>
  <si>
    <t>$0/mo</t>
  </si>
  <si>
    <t>~$39/mo</t>
  </si>
  <si>
    <t>~$79/mo</t>
  </si>
  <si>
    <t>Custom</t>
  </si>
  <si>
    <t>Start low, raise as value proves out</t>
  </si>
  <si>
    <t>Transaction fee (paid drops)</t>
  </si>
  <si>
    <t>5% + $1/ticket</t>
  </si>
  <si>
    <t>3.5% + $1/ticket</t>
  </si>
  <si>
    <t>3.5% + $0.75/ticket</t>
  </si>
  <si>
    <t>Negotiable</t>
  </si>
  <si>
    <t>Fee reduction is the primary upgrade driver</t>
  </si>
  <si>
    <t>Free/RSVP drop fee</t>
  </si>
  <si>
    <t>None</t>
  </si>
  <si>
    <t>No fees on free or RSVP-only drops</t>
  </si>
  <si>
    <t>Absorb fee vs. pass to guest toggle</t>
  </si>
  <si>
    <t>—</t>
  </si>
  <si>
    <t>✓</t>
  </si>
  <si>
    <t>DROPS &amp; SCHEDULING</t>
  </si>
  <si>
    <t>Drops per week</t>
  </si>
  <si>
    <t>1/week</t>
  </si>
  <si>
    <t>3/week</t>
  </si>
  <si>
    <t>7/week</t>
  </si>
  <si>
    <t>Reset fixed Sunday midnight local time</t>
  </si>
  <si>
    <t>Broadcast window (Max)</t>
  </si>
  <si>
    <t>24 hrs</t>
  </si>
  <si>
    <t>36 hrs</t>
  </si>
  <si>
    <t>48 hrs</t>
  </si>
  <si>
    <t>Max time before start the drop appears in feeds</t>
  </si>
  <si>
    <t>Time slots per drop</t>
  </si>
  <si>
    <t>1</t>
  </si>
  <si>
    <t>All tiers start with 1 slot per drop</t>
  </si>
  <si>
    <t>Concurrent live drops</t>
  </si>
  <si>
    <t>No</t>
  </si>
  <si>
    <t>Drops run sequentially, not simultaneously</t>
  </si>
  <si>
    <t>Max spots per drop</t>
  </si>
  <si>
    <t>Unlimited</t>
  </si>
  <si>
    <t>We grow with every ticket sold</t>
  </si>
  <si>
    <t>Event mode</t>
  </si>
  <si>
    <t>Core format — always free</t>
  </si>
  <si>
    <t>Appointment mode</t>
  </si>
  <si>
    <t>Drop scheduling (future date)</t>
  </si>
  <si>
    <t>Operational convenience</t>
  </si>
  <si>
    <t>Recurring drops</t>
  </si>
  <si>
    <t>Host can set any times of day</t>
  </si>
  <si>
    <t>Drop templates</t>
  </si>
  <si>
    <t>Custom ticket types (VIP, early access)</t>
  </si>
  <si>
    <t>Revenue optimization</t>
  </si>
  <si>
    <t>Waitlist / queue management</t>
  </si>
  <si>
    <t>FOMO + conversion tool</t>
  </si>
  <si>
    <t>ACCESS &amp; VISIBILITY</t>
  </si>
  <si>
    <t>Public drops (discover feed)</t>
  </si>
  <si>
    <t>Trust gate (verification), not a tier gate</t>
  </si>
  <si>
    <t>Private drops (invite-only)</t>
  </si>
  <si>
    <t>Anyone with a link</t>
  </si>
  <si>
    <t>Password-protected drops</t>
  </si>
  <si>
    <t>Verified badge</t>
  </si>
  <si>
    <t>Identity/trust, not a paywall</t>
  </si>
  <si>
    <t>Legal compliance — never gated</t>
  </si>
  <si>
    <t>DISTRIBUTION &amp; REACH</t>
  </si>
  <si>
    <t>Push notifications to followers</t>
  </si>
  <si>
    <t>Network dies without this — never gate</t>
  </si>
  <si>
    <t>Link sharing + QR code</t>
  </si>
  <si>
    <t>Viral growth — always free</t>
  </si>
  <si>
    <t>Social sharing tools</t>
  </si>
  <si>
    <t>Nigh Zone (shrinking radius)</t>
  </si>
  <si>
    <t>✓ (configurable)</t>
  </si>
  <si>
    <t>✓ (customizable)</t>
  </si>
  <si>
    <t>Core magic. Plus configures, Pro customizes.</t>
  </si>
  <si>
    <t>FOMO broadcast mode</t>
  </si>
  <si>
    <t>Reach amplifier</t>
  </si>
  <si>
    <t>Pre-hype zone (outer radius)</t>
  </si>
  <si>
    <t>Sophisticated distribution</t>
  </si>
  <si>
    <t>Boosts (paid exposure)</t>
  </si>
  <si>
    <t>✓ (pay per boost)</t>
  </si>
  <si>
    <t>✓ (volume pricing)</t>
  </si>
  <si>
    <t>Separate revenue stream, not a sub feature</t>
  </si>
  <si>
    <t>Geo-fence View/Buy Zone</t>
  </si>
  <si>
    <t>THIS IS NIGH. Always free.</t>
  </si>
  <si>
    <t>Custom Geo-fence View/Buy Zone</t>
  </si>
  <si>
    <t>Enterprise only</t>
  </si>
  <si>
    <t>COLLECTIONS &amp; ORGANIZATION</t>
  </si>
  <si>
    <t>Collections (organize drops)</t>
  </si>
  <si>
    <t>Profile depth — Pro and above</t>
  </si>
  <si>
    <t>PARTNERS &amp; SPONSORS</t>
  </si>
  <si>
    <t>Partners per drop</t>
  </si>
  <si>
    <t>Natural scaling lever</t>
  </si>
  <si>
    <t>Partner attribution links</t>
  </si>
  <si>
    <t>Measurement — free for all</t>
  </si>
  <si>
    <t>AI (NIYA)</t>
  </si>
  <si>
    <t>Niya AI assistant</t>
  </si>
  <si>
    <t>Same Niya everywhere. Works within your capabilities.</t>
  </si>
  <si>
    <t>AI drop creation</t>
  </si>
  <si>
    <t>Niya helps all hosts create drops</t>
  </si>
  <si>
    <t>AI timing suggestions</t>
  </si>
  <si>
    <t>Intelligence depth</t>
  </si>
  <si>
    <t>AI re-engagement coaching</t>
  </si>
  <si>
    <t>Requires CRM depth</t>
  </si>
  <si>
    <t>AI predictive demand</t>
  </si>
  <si>
    <t>Advanced intelligence</t>
  </si>
  <si>
    <t>AI guardrails auto-approval</t>
  </si>
  <si>
    <t>Benefits platform operations</t>
  </si>
  <si>
    <t>AI-generated images/videos</t>
  </si>
  <si>
    <t>Future (add-on)</t>
  </si>
  <si>
    <t>Future (included)</t>
  </si>
  <si>
    <t>v2 — usage-based when launched</t>
  </si>
  <si>
    <t>Demand-based dynamic pricing</t>
  </si>
  <si>
    <t>Intelligence feature</t>
  </si>
  <si>
    <t>Inventory liquidation pricing</t>
  </si>
  <si>
    <t>Flash pricing windows</t>
  </si>
  <si>
    <t>Bundling &amp; upsells</t>
  </si>
  <si>
    <t>Dual pricing (new vs. returning)</t>
  </si>
  <si>
    <t>CRM-powered</t>
  </si>
  <si>
    <t>SMS &amp; MESSAGING</t>
  </si>
  <si>
    <t>SMS notifications</t>
  </si>
  <si>
    <t>250/mo</t>
  </si>
  <si>
    <t>500/mo</t>
  </si>
  <si>
    <t>Custom volume</t>
  </si>
  <si>
    <t>Hard cost — must be tiered</t>
  </si>
  <si>
    <t>SMS overage</t>
  </si>
  <si>
    <t>$0.01/msg</t>
  </si>
  <si>
    <t>Bulk messaging</t>
  </si>
  <si>
    <t>Custom templates</t>
  </si>
  <si>
    <t>GUESTS &amp; CHECK-IN</t>
  </si>
  <si>
    <t>Ticket management</t>
  </si>
  <si>
    <t>Core operational — always free</t>
  </si>
  <si>
    <t>Check-in (QR + manual)</t>
  </si>
  <si>
    <t>Friend list &amp; groups</t>
  </si>
  <si>
    <t>Network effect — always free</t>
  </si>
  <si>
    <t>RSVP notifications</t>
  </si>
  <si>
    <t>Offline check-in</t>
  </si>
  <si>
    <t>Reliability for high-volume</t>
  </si>
  <si>
    <t>Ticket transfer controls</t>
  </si>
  <si>
    <t>Capacity alerts</t>
  </si>
  <si>
    <t>Low cost, high value</t>
  </si>
  <si>
    <t>Guest PII sharing (phone, email)</t>
  </si>
  <si>
    <t>Higher bar of trust — Enterprise only</t>
  </si>
  <si>
    <t>ANALYTICS</t>
  </si>
  <si>
    <t>Basic analytics (views, attendance)</t>
  </si>
  <si>
    <t>Must be free or hosts churn</t>
  </si>
  <si>
    <t>Standard analytics (funnel, repeat)</t>
  </si>
  <si>
    <t>Upgrade trigger</t>
  </si>
  <si>
    <t>Advanced analytics + revenue</t>
  </si>
  <si>
    <t>Consumer feedback / ratings</t>
  </si>
  <si>
    <t>Drives quality — free</t>
  </si>
  <si>
    <t>Data export (CSV/PDF)</t>
  </si>
  <si>
    <t>Org-level analytics</t>
  </si>
  <si>
    <t>Multi-location</t>
  </si>
  <si>
    <t>GUESTS &amp; CRM</t>
  </si>
  <si>
    <t>Guest list</t>
  </si>
  <si>
    <t>Basic CRM — free</t>
  </si>
  <si>
    <t>Guest notes &amp; tags</t>
  </si>
  <si>
    <t>CRM depth</t>
  </si>
  <si>
    <t>Guest segmentation</t>
  </si>
  <si>
    <t>Loyalty / repeat tracking</t>
  </si>
  <si>
    <t>CSV import</t>
  </si>
  <si>
    <t>Onboarding convenience</t>
  </si>
  <si>
    <t>TEAM &amp; STAFF</t>
  </si>
  <si>
    <t>Staff accounts</t>
  </si>
  <si>
    <t>Never meter seats</t>
  </si>
  <si>
    <t>Team roles &amp; permissions</t>
  </si>
  <si>
    <t>Full</t>
  </si>
  <si>
    <t>Governance scales with complexity</t>
  </si>
  <si>
    <t>Audit log / activity history</t>
  </si>
  <si>
    <t>BRANDING</t>
  </si>
  <si>
    <t>Nigh stickers</t>
  </si>
  <si>
    <t>3</t>
  </si>
  <si>
    <t>Physical goods — real cost</t>
  </si>
  <si>
    <t>Custom branding (remove Nigh logo)</t>
  </si>
  <si>
    <t>Premium — Pro feature</t>
  </si>
  <si>
    <t>Custom branded QR codes</t>
  </si>
  <si>
    <t>LOCATIONS</t>
  </si>
  <si>
    <t>Saved locations</t>
  </si>
  <si>
    <t>Mobile / pop-up venue</t>
  </si>
  <si>
    <t>Requires approval flow</t>
  </si>
  <si>
    <t>PLATFORM &amp; INTEGRATIONS</t>
  </si>
  <si>
    <t>API access</t>
  </si>
  <si>
    <t>Enterprise developer feature</t>
  </si>
  <si>
    <t>Webhooks</t>
  </si>
  <si>
    <t>POS integration</t>
  </si>
  <si>
    <t>Add-on</t>
  </si>
  <si>
    <t>Category-specific</t>
  </si>
  <si>
    <t>Custom integrations</t>
  </si>
  <si>
    <t>Multi-location support</t>
  </si>
  <si>
    <t>Defines Enterprise</t>
  </si>
  <si>
    <t>ENTERPRISE &amp; MULTI-LOCATION</t>
  </si>
  <si>
    <t>Parent/child account hierarchy</t>
  </si>
  <si>
    <t>Enterprise roll-up dashboard</t>
  </si>
  <si>
    <t>Cross-location coordination</t>
  </si>
  <si>
    <t>SSO (Okta, Azure AD)</t>
  </si>
  <si>
    <t>Consolidated billing</t>
  </si>
  <si>
    <t>SOC 2 / GDPR compliance</t>
  </si>
  <si>
    <t>Custom contract / MSA</t>
  </si>
  <si>
    <t>Dedicated account manager</t>
  </si>
  <si>
    <t>SUPPORT</t>
  </si>
  <si>
    <t>Niya AI support</t>
  </si>
  <si>
    <t>Scale support via AI — free</t>
  </si>
  <si>
    <t>Standard support</t>
  </si>
  <si>
    <t>Priority support</t>
  </si>
  <si>
    <t>Dedicated support + SLA</t>
  </si>
  <si>
    <t>Design Principles</t>
  </si>
  <si>
    <t>2. Public vs. private is a trust/identity gate (verification), NOT a subscription gate.</t>
  </si>
  <si>
    <t>3. Transaction fee reduction is the primary upgrade driver for high-volume hosts.</t>
  </si>
  <si>
    <t>4. Start simple and low cost. Raise tiers and pricing as capabilities and scale are introduced.</t>
  </si>
  <si>
    <t>5. Boosts are a separate pay-per-use revenue stream, not a subscription feature.</t>
  </si>
  <si>
    <t>7. Free tier must be generous enough to create the "aha moment" that drives Plus upgrades.</t>
  </si>
  <si>
    <t>8. Guest PII (phone, email) is never shared except at Enterprise tier — higher bar of trust.</t>
  </si>
  <si>
    <t>9. Weekly drop caps reset on a fixed Sunday midnight local time cycle.</t>
  </si>
  <si>
    <t>10. Fees apply only to paid drops. Free and RSVP-only drops have zero transaction fees.</t>
  </si>
  <si>
    <t>Nigh — Complete Feature &amp; Capability List</t>
  </si>
  <si>
    <t>Master reference of all capabilities across current and future subscription tiers</t>
  </si>
  <si>
    <t>#</t>
  </si>
  <si>
    <t>Group</t>
  </si>
  <si>
    <t>Feature / Capability</t>
  </si>
  <si>
    <t>Description</t>
  </si>
  <si>
    <t>Source</t>
  </si>
  <si>
    <t>Pricing</t>
  </si>
  <si>
    <t>Monthly Subscription Price</t>
  </si>
  <si>
    <t>Flat monthly fee based on business category and subscription tier</t>
  </si>
  <si>
    <t>Category Matrix</t>
  </si>
  <si>
    <t>Transaction Fee (Ticket)</t>
  </si>
  <si>
    <t>Per-ticket fee applied to all priced Drops (e.g. 3% + $0.75)</t>
  </si>
  <si>
    <t>Free Trial Period</t>
  </si>
  <si>
    <t>First month free for new Starter subscribers</t>
  </si>
  <si>
    <t>Pricing Tiers</t>
  </si>
  <si>
    <t>Referral Discount</t>
  </si>
  <si>
    <t>First month free for referred businesses on Growth tier</t>
  </si>
  <si>
    <t>Drops – Core</t>
  </si>
  <si>
    <t>Drops per Month</t>
  </si>
  <si>
    <t>Number of Drops a business can publish per month</t>
  </si>
  <si>
    <t>Max Live Drops at Once</t>
  </si>
  <si>
    <t>How many Drops can be active simultaneously</t>
  </si>
  <si>
    <t>Drop Live Window</t>
  </si>
  <si>
    <t>Maximum duration a Drop can remain active (e.g. 48 hrs, 72 hrs)</t>
  </si>
  <si>
    <t>Max Capacity per Drop</t>
  </si>
  <si>
    <t>Default attendee / reservation cap per Drop</t>
  </si>
  <si>
    <t>Drop Scheduling (Future Publish Date)</t>
  </si>
  <si>
    <t>Ability to schedule a Drop to go live at a future date/time</t>
  </si>
  <si>
    <t>Additional</t>
  </si>
  <si>
    <t>Recurring Drops</t>
  </si>
  <si>
    <t>Set a Drop to repeat on a schedule (weekly happy hour, etc.)</t>
  </si>
  <si>
    <t>Drop Templates / Saved Settings</t>
  </si>
  <si>
    <t>Reuse previous Drop configurations as a starting template</t>
  </si>
  <si>
    <t>Custom Reusable Drop URLs</t>
  </si>
  <si>
    <t>Permanent branded short link for a recurring Drop</t>
  </si>
  <si>
    <t>Drops – Format</t>
  </si>
  <si>
    <t>Event Mode</t>
  </si>
  <si>
    <t>Standard timed-entry / reservation drop format</t>
  </si>
  <si>
    <t>Appointment Mode</t>
  </si>
  <si>
    <t>1:1 booking slots within a Drop window</t>
  </si>
  <si>
    <t>Appointment Slots per Drop</t>
  </si>
  <si>
    <t>Number of discrete appointment slots when in appointment mode</t>
  </si>
  <si>
    <t>Mobile Venue (Pop-up) Support</t>
  </si>
  <si>
    <t>Drop attached to a roaming / non-fixed location with approval flow</t>
  </si>
  <si>
    <t>Custom Ticket Types (VIP, Early Access)</t>
  </si>
  <si>
    <t>Create multiple ticket tiers with different pricing or perks</t>
  </si>
  <si>
    <t>Waitlist / Queue Management</t>
  </si>
  <si>
    <t>Automatic waitlist when capacity is full; notify when spots open</t>
  </si>
  <si>
    <t>Exclusive VIP Experience Drops</t>
  </si>
  <si>
    <t>Drops offering spontaneous high-value experiences (meet &amp; greet, backstage, skip-the-line)</t>
  </si>
  <si>
    <t>Elevate IRL Deck</t>
  </si>
  <si>
    <t>Content &amp; Media</t>
  </si>
  <si>
    <t>Drop Media Requirement</t>
  </si>
  <si>
    <t>Minimum media type required when creating a Drop (photo, video)</t>
  </si>
  <si>
    <t>Video Drops</t>
  </si>
  <si>
    <t>Support for video-led Drop announcements (preferred over photo in higher tiers)</t>
  </si>
  <si>
    <t>Social Sharing Tools</t>
  </si>
  <si>
    <t>One-tap sharing of Drops to Instagram, TikTok, etc.</t>
  </si>
  <si>
    <t>White-Label / Custom Branding</t>
  </si>
  <si>
    <t>Remove Nigh branding; use business logo and colors on consumer-facing screens</t>
  </si>
  <si>
    <t>Custom Branded QR Codes</t>
  </si>
  <si>
    <t>QR codes styled with business colors and logo</t>
  </si>
  <si>
    <t>Interactive Content Capture &amp; Sharing</t>
  </si>
  <si>
    <t>In-drop tools for consumers to capture, create, and share moments in real time</t>
  </si>
  <si>
    <t>IRL Framework</t>
  </si>
  <si>
    <t>Post-Drop Content Recaps</t>
  </si>
  <si>
    <t>Auto-generate a shareable highlight recap (video, photos, stats) after a drop ends</t>
  </si>
  <si>
    <t>AR Walkthrough / Replay</t>
  </si>
  <si>
    <t>Augmented reality recreation of the drop experience for those who attended or missed</t>
  </si>
  <si>
    <t>Tickets &amp; Check-in</t>
  </si>
  <si>
    <t>Ticket Management</t>
  </si>
  <si>
    <t>Issue, view, and manage tickets for each Drop</t>
  </si>
  <si>
    <t>Check-in App / Scanner</t>
  </si>
  <si>
    <t>Mobile check-in tool for staff to scan tickets at the door</t>
  </si>
  <si>
    <t>Offline Check-in Mode</t>
  </si>
  <si>
    <t>Check in attendees without an internet connection</t>
  </si>
  <si>
    <t>Ticket Transfer / Resale Controls</t>
  </si>
  <si>
    <t>Allow or restrict ticket transfers between consumers</t>
  </si>
  <si>
    <t>Capacity Alerts (Real-time)</t>
  </si>
  <si>
    <t>Instant notifications when Drop reaches capacity thresholds</t>
  </si>
  <si>
    <t>Ticket Verification for Geo-Access</t>
  </si>
  <si>
    <t>Consumers must verify an existing ticket to unlock inner-zone drop transactions</t>
  </si>
  <si>
    <t>Dynamic Pricing</t>
  </si>
  <si>
    <t>Dynamic Pricing (Demand-Based)</t>
  </si>
  <si>
    <t>Real-time price adjustment based on current demand, time remaining, and remaining capacity</t>
  </si>
  <si>
    <t>Inventory Liquidation Pricing</t>
  </si>
  <si>
    <t>Auto-discount pricing as capacity deadline approaches to clear unsold inventory</t>
  </si>
  <si>
    <t>Flash Pricing Windows</t>
  </si>
  <si>
    <t>Time-limited price drops (e.g. last 30 min of drop) to create urgency</t>
  </si>
  <si>
    <t>Bundling &amp; Upsells at Checkout</t>
  </si>
  <si>
    <t>Offer add-ons, VIP upgrades, or bundles to consumers during ticket checkout</t>
  </si>
  <si>
    <t>New vs. Returning Customer Pricing Rules</t>
  </si>
  <si>
    <t>Automatically apply different price tiers to first-time vs. returning customers</t>
  </si>
  <si>
    <t>Sponsor-Subsidized Pricing</t>
  </si>
  <si>
    <t>Partner brands co-fund a drop, enabling lower or free tickets offset by sponsor revenue</t>
  </si>
  <si>
    <t>Distribution &amp; Reach</t>
  </si>
  <si>
    <t>Nigh Consumer App Visibility</t>
  </si>
  <si>
    <t>Drop surfaces in Nigh consumer app feed for discovery</t>
  </si>
  <si>
    <t>In-App &amp; Push Notifications</t>
  </si>
  <si>
    <t>Automated push alerts sent to followers when a Drop goes live</t>
  </si>
  <si>
    <t>Link Sharing + QR Code</t>
  </si>
  <si>
    <t>Shareable drop link and QR code for external promotion</t>
  </si>
  <si>
    <t>Buy Zone (Geo-radius + Shrink)</t>
  </si>
  <si>
    <t>Restrict ticket purchases to consumers within a defined geo-radius</t>
  </si>
  <si>
    <t>Geo-Targeted Notifications</t>
  </si>
  <si>
    <t>Push alerts only to consumers within a certain distance of the drop location</t>
  </si>
  <si>
    <t>Priority Placement in Nigh Feed</t>
  </si>
  <si>
    <t>Boosted feed position for drops on higher subscription tiers</t>
  </si>
  <si>
    <t>Partner Attribution Links</t>
  </si>
  <si>
    <t>Track traffic and conversions from partner referral links</t>
  </si>
  <si>
    <t>Partner Invitations</t>
  </si>
  <si>
    <t>Invite other businesses to co-host or co-sponsor a Drop</t>
  </si>
  <si>
    <t># Partners Allowed per Drop</t>
  </si>
  <si>
    <t>Maximum number of partner businesses attached to a single Drop</t>
  </si>
  <si>
    <t>Direct Offers (by Phone)</t>
  </si>
  <si>
    <t>Send personalized offers directly to a customer's phone number</t>
  </si>
  <si>
    <t>Sponsor / Brand Co-Drop</t>
  </si>
  <si>
    <t>Third-party sponsor brands co-fund, co-brand, and co-promote a drop alongside the host</t>
  </si>
  <si>
    <t>Geo-Proximity &amp; FOMO</t>
  </si>
  <si>
    <t>Pre-Hype Zone (Outer Radius View-Only)</t>
  </si>
  <si>
    <t>Consumers in the outer radius see a teaser/hype video but cannot transact until inside the inner zone</t>
  </si>
  <si>
    <t>Geofenced Transaction Zone (Inner Radius)</t>
  </si>
  <si>
    <t>Only consumers physically within the tight inner geofence can purchase or redeem drop offers</t>
  </si>
  <si>
    <t>FOMO Broadcast Mode</t>
  </si>
  <si>
    <t>Drops visible to outer-zone consumers as a social signal to drive foot traffic and urgency</t>
  </si>
  <si>
    <t>Multi-Zone Radius Configuration</t>
  </si>
  <si>
    <t>Set multiple distinct geo-radii (e.g. 0.1 mi transact, 1 mi hype, 10 mi FOMO) for a single drop</t>
  </si>
  <si>
    <t>Local Distribution System (LDS)</t>
  </si>
  <si>
    <t>LDS API – Embed Drops in 3rd-Party Apps</t>
  </si>
  <si>
    <t>API enabling partner apps (TikTok, Siri, Google, ChatGPT, Grok, etc.) to surface Nigh drops natively</t>
  </si>
  <si>
    <t>LDS Subscription Pricing (Per-Second)</t>
  </si>
  <si>
    <t>API partners pay a per-second subscription rate while drop content is streamed or displayed in their app</t>
  </si>
  <si>
    <t>LDS Commission on Transactions</t>
  </si>
  <si>
    <t>Nigh earns a revenue share % on all transactions that originate through an LDS API partner app</t>
  </si>
  <si>
    <t>LDS Partner On/Off Toggle (Business)</t>
  </si>
  <si>
    <t>Business controls which LDS partner apps are allowed to broadcast their drops</t>
  </si>
  <si>
    <t>Local Guides / Geo-Anchored Channels</t>
  </si>
  <si>
    <t>Community guides post drops tied to a specific address or zip code radius, discoverable by nearby consumers</t>
  </si>
  <si>
    <t>Radius-Based Content Visibility Control</t>
  </si>
  <si>
    <t>Configure which content layers (hype vs. transact) are visible at different geo-radii from the drop</t>
  </si>
  <si>
    <t>SMS &amp; Messaging</t>
  </si>
  <si>
    <t>SMS Notifications (Included Volume)</t>
  </si>
  <si>
    <t>Number of SMS messages included per month</t>
  </si>
  <si>
    <t>SMS Overage Rate</t>
  </si>
  <si>
    <t>Per-message cost when monthly SMS allowance is exceeded</t>
  </si>
  <si>
    <t>Custom Email / SMS Templates</t>
  </si>
  <si>
    <t>Branded message templates for drop announcements and reminders</t>
  </si>
  <si>
    <t>Automated Follow-up Messages</t>
  </si>
  <si>
    <t>Post-drop thank-you / re-engagement messages sent automatically</t>
  </si>
  <si>
    <t>Bulk Messaging to Customers</t>
  </si>
  <si>
    <t>Broadcast messages to a segment or all customers at once</t>
  </si>
  <si>
    <t>AI – Core</t>
  </si>
  <si>
    <t>AI Drop Creation (Copy + Setup)</t>
  </si>
  <si>
    <t>AI-assisted description writing, timing, and setup for new Drops</t>
  </si>
  <si>
    <t>Both Sheets</t>
  </si>
  <si>
    <t>AI Timing Suggestions</t>
  </si>
  <si>
    <t>AI recommends optimal day/time to post a Drop based on past performance</t>
  </si>
  <si>
    <t>AI Re-engagement &amp; Coaching</t>
  </si>
  <si>
    <t>AI proactively suggests actions to re-activate lapsed customers</t>
  </si>
  <si>
    <t>AI Guardrails Auto-Approval</t>
  </si>
  <si>
    <t>AI automatically approves Drops that meet quality standards (&gt;90% pass rate)</t>
  </si>
  <si>
    <t>AI Playbooks + Optimization</t>
  </si>
  <si>
    <t>AI-driven growth playbooks and revenue optimization recommendations</t>
  </si>
  <si>
    <t>AI – Tokens &amp; Tiers</t>
  </si>
  <si>
    <t>AI Token Allowance (Monthly)</t>
  </si>
  <si>
    <t>Monthly pool of AI credits consumed by AI features; add-on tokens purchasable when exhausted</t>
  </si>
  <si>
    <t>AI-Generated Drop Images</t>
  </si>
  <si>
    <t>AI creates promotional images and visual assets for drop announcements (product shots, event art)</t>
  </si>
  <si>
    <t>AI-Generated Drop Videos</t>
  </si>
  <si>
    <t>AI creates short-form video content for drop announcements and social sharing</t>
  </si>
  <si>
    <t>AI Predictive Demand Planning</t>
  </si>
  <si>
    <t>Forecast expected demand and optimal timing before publishing a drop based on historical patterns</t>
  </si>
  <si>
    <t>AI Personalized Pre-Drop Journey</t>
  </si>
  <si>
    <t>Automated, personalized message sequence sent to registered attendees before a drop goes live</t>
  </si>
  <si>
    <t>AI Sentiment Analysis</t>
  </si>
  <si>
    <t>Analyze customer reactions and post-drop feedback to surface emotional and behavioral insights</t>
  </si>
  <si>
    <t>AI Crowd Management &amp; Flow Optimization</t>
  </si>
  <si>
    <t>Real-time AI analysis of attendee density to reduce bottlenecks at large drops</t>
  </si>
  <si>
    <t>Analytics</t>
  </si>
  <si>
    <t>Basic Analytics</t>
  </si>
  <si>
    <t>Views, click-through rate, and basic drop performance stats</t>
  </si>
  <si>
    <t>Standard Analytics</t>
  </si>
  <si>
    <t>Conversion funnel, repeat visitor rate, and time-series performance</t>
  </si>
  <si>
    <t>Advanced Analytics + Revenue Tracking</t>
  </si>
  <si>
    <t>Full revenue tracking, cohort analysis, and benchmarking against category peers</t>
  </si>
  <si>
    <t>Consumer Feedback / Ratings</t>
  </si>
  <si>
    <t>Post-drop ratings collected from attendees and surfaced in dashboard</t>
  </si>
  <si>
    <t>Revenue Dashboard</t>
  </si>
  <si>
    <t>Real-time revenue summary with ticket sales, fees, and net payout</t>
  </si>
  <si>
    <t>Data Export (CSV / PDF)</t>
  </si>
  <si>
    <t>Download drop data, customer lists, and reports</t>
  </si>
  <si>
    <t>Live Sentiment Monitoring</t>
  </si>
  <si>
    <t>Real-time mood and reaction tracking during a drop</t>
  </si>
  <si>
    <t>Cultural &amp; Emotional Impact Insights</t>
  </si>
  <si>
    <t>Analytics measuring emotional resonance, brand affinity, and cultural impact of a drop</t>
  </si>
  <si>
    <t>Experience &amp; Engagement</t>
  </si>
  <si>
    <t>Random Selection / Giveaway Mechanics</t>
  </si>
  <si>
    <t>Randomly select winners from drop attendees (raffle, lottery, backstage pass, etc.)</t>
  </si>
  <si>
    <t>In-Drop Live Polls &amp; Reactions</t>
  </si>
  <si>
    <t>Real-time interactive polls and emoji reactions consumers participate in during an active drop</t>
  </si>
  <si>
    <t>Social Commerce &amp; Co-Experience Activation</t>
  </si>
  <si>
    <t>Enable consumers to share, co-buy, or invite friends to join a drop in real time</t>
  </si>
  <si>
    <t>Crowd Flow &amp; Venue Navigation</t>
  </si>
  <si>
    <t>In-app guidance helping attendees navigate a large venue and avoid congestion</t>
  </si>
  <si>
    <t>Live Streaming Integration</t>
  </si>
  <si>
    <t>Stream live video from a drop event to outer-zone or remote consumers</t>
  </si>
  <si>
    <t>Community Matchmaking</t>
  </si>
  <si>
    <t>Surface connections between consumers attending the same drop based on shared interests</t>
  </si>
  <si>
    <t>Proof of Experience</t>
  </si>
  <si>
    <t>Digital Proof-of-Attendance (Badge/Token)</t>
  </si>
  <si>
    <t>Issue digital collectible badge or token to consumers who attended a drop, stored in their Nigh profile</t>
  </si>
  <si>
    <t>Loyalty Points Integration</t>
  </si>
  <si>
    <t>Award loyalty points for attending drops; redeemable for future offers or rewards</t>
  </si>
  <si>
    <t>Customers &amp; CRM</t>
  </si>
  <si>
    <t>Customer List</t>
  </si>
  <si>
    <t>Searchable list of all customers who have attended a Drop</t>
  </si>
  <si>
    <t>Customer Notes &amp; Tags</t>
  </si>
  <si>
    <t>Add internal notes and labels to individual customer profiles</t>
  </si>
  <si>
    <t>Customer Segmentation</t>
  </si>
  <si>
    <t>Group customers by behavior (new, repeat, lapsed, VIP)</t>
  </si>
  <si>
    <t>Loyalty / Repeat Customer Tracking</t>
  </si>
  <si>
    <t>Track visit frequency and surface re-engagement opportunities</t>
  </si>
  <si>
    <t>Centralized Customer List (Multi-location)</t>
  </si>
  <si>
    <t>Single unified customer view across all business locations</t>
  </si>
  <si>
    <t>Staff &amp; Platform</t>
  </si>
  <si>
    <t>Staff Accounts</t>
  </si>
  <si>
    <t>Number of team member logins included with the plan</t>
  </si>
  <si>
    <t>Team Roles &amp; Permissions</t>
  </si>
  <si>
    <t>Define what each staff member can view or edit</t>
  </si>
  <si>
    <t>Audit Log / Activity History</t>
  </si>
  <si>
    <t>Record of all account actions for compliance and accountability</t>
  </si>
  <si>
    <t>Feature Flags / Experiments (Org-level)</t>
  </si>
  <si>
    <t>Org-wide toggles for beta features and A/B testing</t>
  </si>
  <si>
    <t>Integrations &amp; API</t>
  </si>
  <si>
    <t>API Access (Embed Drops)</t>
  </si>
  <si>
    <t>REST API to embed Drops on external websites or apps</t>
  </si>
  <si>
    <t>Real-time event callbacks to external systems (e.g. sold out, check-in)</t>
  </si>
  <si>
    <t>POS Integration</t>
  </si>
  <si>
    <t>Connect to point-of-sale systems (Square, Toast, etc.) for in-store sync</t>
  </si>
  <si>
    <t>Custom Integrations</t>
  </si>
  <si>
    <t>Bespoke API connections to internal tools or third-party platforms</t>
  </si>
  <si>
    <t>Multi-location Support</t>
  </si>
  <si>
    <t>Manage multiple physical locations under one account</t>
  </si>
  <si>
    <t>Compliance</t>
  </si>
  <si>
    <t>Age Verification (21+ Drops)</t>
  </si>
  <si>
    <t>Restrict access to age-verified consumers for alcohol or adult events</t>
  </si>
  <si>
    <t>Drop Content Moderation</t>
  </si>
  <si>
    <t>Automated and manual review of drop media and descriptions</t>
  </si>
  <si>
    <t>Support</t>
  </si>
  <si>
    <t>Support Level</t>
  </si>
  <si>
    <t>Support tier: Community / Standard / Priority / Priority + SLA</t>
  </si>
  <si>
    <t>Dedicated Account Manager</t>
  </si>
  <si>
    <t>Named account manager for high-touch onboarding and ongoing guidance</t>
  </si>
  <si>
    <t>Custom SLA</t>
  </si>
  <si>
    <t>Contractual uptime and response-time guarantees</t>
  </si>
  <si>
    <t>AR / VR &amp; Immersive (Future)</t>
  </si>
  <si>
    <t>Immersive Drop Previews (AR/VR)</t>
  </si>
  <si>
    <t>Pre-drop augmented or virtual reality preview to drive anticipation and registrations</t>
  </si>
  <si>
    <t>Spatial Computing / Mixed Reality Layer</t>
  </si>
  <si>
    <t>Overlay interactive digital content (offers, menus) onto the physical venue in real time</t>
  </si>
  <si>
    <t>Digital Twin – Venue Mirror</t>
  </si>
  <si>
    <t>Virtual replica of the physical drop location for capacity planning and real-time analytics</t>
  </si>
  <si>
    <t>Ambient Intelligence (Responsive Spaces)</t>
  </si>
  <si>
    <t>IoT-connected venue environment that responds dynamically to crowd behavior and drop activity</t>
  </si>
  <si>
    <t>Add-ons &amp; Future</t>
  </si>
  <si>
    <t>Collections (Future Module)</t>
  </si>
  <si>
    <t>Curated themed bundles grouping multiple Drops together</t>
  </si>
  <si>
    <t>Nigh Directory Listing</t>
  </si>
  <si>
    <t>Enhanced profile page in the Nigh business directory for discovery</t>
  </si>
  <si>
    <t>Referral Program Tools</t>
  </si>
  <si>
    <t>Built-in referral tracking so customers can share drops and earn rewards</t>
  </si>
  <si>
    <t>Enterprise &amp; Multi-Location</t>
  </si>
  <si>
    <t>Parent / Child Account Hierarchy</t>
  </si>
  <si>
    <t>Structured org tree linking a corporate parent account to individual location child accounts</t>
  </si>
  <si>
    <t>Enterprise Roll-up Dashboard</t>
  </si>
  <si>
    <t>Single consolidated view of all locations' drop activity, revenue, and performance from a parent account</t>
  </si>
  <si>
    <t>Location-Level vs. Brand-Level Admin Controls</t>
  </si>
  <si>
    <t>Granular permission model — corporate sets brand guardrails while locations control their own drops</t>
  </si>
  <si>
    <t>Regional Management Layer</t>
  </si>
  <si>
    <t>Group locations by region or district with region-level analytics and management controls</t>
  </si>
  <si>
    <t>Cross-Location Drop Coordination</t>
  </si>
  <si>
    <t>Launch coordinated drops across multiple locations simultaneously from a single campaign</t>
  </si>
  <si>
    <t>Franchise Drop Templates</t>
  </si>
  <si>
    <t>Corporate-defined drop templates that franchise or chain locations can inherit and customize locally</t>
  </si>
  <si>
    <t>Brand-Level Campaign Management</t>
  </si>
  <si>
    <t>Plan, schedule, and track multi-location drop campaigns from one corporate dashboard</t>
  </si>
  <si>
    <t>Cross-Location Customer Recognition</t>
  </si>
  <si>
    <t>Identify and surface returning customers regardless of which location they visit</t>
  </si>
  <si>
    <t>Enterprise Unified Customer Data Platform</t>
  </si>
  <si>
    <t>Aggregate all customer data across every location into a single CDP for segmentation and CRM</t>
  </si>
  <si>
    <t>Enterprise-wide Analytics &amp; Benchmarking</t>
  </si>
  <si>
    <t>Compare performance across all locations with benchmarks, rankings, and drill-down by location</t>
  </si>
  <si>
    <t>Consolidated Enterprise Billing</t>
  </si>
  <si>
    <t>Single invoice covering all locations under the enterprise contract</t>
  </si>
  <si>
    <t>Enterprise API Rate Limits &amp; SLA</t>
  </si>
  <si>
    <t>Elevated API throughput limits and contractual uptime guarantees for enterprise volume</t>
  </si>
  <si>
    <t>Single Sign-On (SSO) Integration</t>
  </si>
  <si>
    <t>Enterprise identity provider integration (Okta, Azure AD, SAML) for staff authentication</t>
  </si>
  <si>
    <t>Enterprise Data Export / BI Integration</t>
  </si>
  <si>
    <t>Bulk data export to data warehouses or BI tools (Snowflake, BigQuery, Tableau, etc.)</t>
  </si>
  <si>
    <t>Enterprise Content Approval Workflow</t>
  </si>
  <si>
    <t>Corporate review and approval gate before any location can publish a drop</t>
  </si>
  <si>
    <t>Brand Safety Controls &amp; Guardrails</t>
  </si>
  <si>
    <t>Enforce brand standards (logo, language, pricing floor) across all location drops automatically</t>
  </si>
  <si>
    <t>Enterprise Sandbox / Test Environment</t>
  </si>
  <si>
    <t>Isolated staging environment for enterprise teams to test new drop formats before going live</t>
  </si>
  <si>
    <t>Co-op Advertising / Partner Fund Management</t>
  </si>
  <si>
    <t>Manage cooperative advertising budgets and track contributions across corporate and franchisees</t>
  </si>
  <si>
    <t>Custom Contract / MSA</t>
  </si>
  <si>
    <t>Negotiated master service agreement with custom terms, pricing, and SLAs</t>
  </si>
  <si>
    <t>Dedicated Implementation &amp; Onboarding</t>
  </si>
  <si>
    <t>White-glove onboarding with a dedicated implementation team for enterprise rollouts</t>
  </si>
  <si>
    <t>Enterprise Security &amp; Compliance (SOC 2 / GDPR)</t>
  </si>
  <si>
    <t>SOC 2 Type II certification and GDPR/CCPA compliance controls for enterprise data requirements</t>
  </si>
  <si>
    <t>Custom Webhook Quotas &amp; Priority Queues</t>
  </si>
  <si>
    <t>Higher webhook throughput limits and dedicated processing queues for enterprise event volumes</t>
  </si>
  <si>
    <t>Link-Only Access (anyone with link)</t>
  </si>
  <si>
    <t>Drop accessible to anyone who has the shareable link, without requiring Nigh account or public listing</t>
  </si>
  <si>
    <t>Password-Protected Drops</t>
  </si>
  <si>
    <t>Require a password to view or RSVP to a drop, adding an extra layer of access control</t>
  </si>
  <si>
    <t>Collections (Organize Drops)</t>
  </si>
  <si>
    <t>Group related drops into themed collections on host profile for discovery and organization</t>
  </si>
  <si>
    <t>Nigh Zone (Shrinking Radius)</t>
  </si>
  <si>
    <t>Geo buy zone that contracts over time, creating urgency as the purchase window physically closes in</t>
  </si>
  <si>
    <t>Boosts (Paid Exposure)</t>
  </si>
  <si>
    <t>Pay-per-boost advertising to expand drop visibility in the consumer feed (public drops only)</t>
  </si>
  <si>
    <t>Absorb Fee vs. Pass Fee Toggle</t>
  </si>
  <si>
    <t>Host chooses whether transaction fees are absorbed by the host or passed on to the guest at checkout</t>
  </si>
  <si>
    <t>Gratuity / Tipping (v2)</t>
  </si>
  <si>
    <t>Optional tipping feature allowing guests to add a gratuity to the host after attending a drop</t>
  </si>
  <si>
    <t>Source Legend</t>
  </si>
  <si>
    <t>Feature defined in the Category Subscription Matrix tab</t>
  </si>
  <si>
    <t>Feature defined in the Pricing Tiers tab</t>
  </si>
  <si>
    <t>Feature appears in both existing tabs</t>
  </si>
  <si>
    <t>Feature sourced from the IRL Capability Framework document</t>
  </si>
  <si>
    <t>Feature sourced from the Nigh Elevate IRL deck</t>
  </si>
  <si>
    <t>Recommended addition not yet in any existing document</t>
  </si>
  <si>
    <t>Nigh — v1 Subscription Plan  ·  Internal Reference Only</t>
  </si>
  <si>
    <t>Pricing is private and category-based. Niya guides each Pro through their options based on their category, usage, and goals.</t>
  </si>
  <si>
    <t>Starter</t>
  </si>
  <si>
    <t>Growth</t>
  </si>
  <si>
    <t>Pro</t>
  </si>
  <si>
    <t>Enterprise</t>
  </si>
  <si>
    <t>Get started.
Publish your first drop.</t>
  </si>
  <si>
    <t>Build a real program.
Drops, AI, and partners.</t>
  </si>
  <si>
    <t>Own your market.
Full AI + API + white-label.</t>
  </si>
  <si>
    <t>Scale everywhere.
Multi-location + LDS.</t>
  </si>
  <si>
    <t>1 month free trial → category price/mo</t>
  </si>
  <si>
    <t>Category price/mo (most common)</t>
  </si>
  <si>
    <t>Category price/mo</t>
  </si>
  <si>
    <t>Custom (Niya → sales)</t>
  </si>
  <si>
    <t>Best for: New businesses, first-timers</t>
  </si>
  <si>
    <t>Best for: Active operators, 1 location</t>
  </si>
  <si>
    <t>Best for: Power users, high volume</t>
  </si>
  <si>
    <t>Best for: Chains, franchises, large venues</t>
  </si>
  <si>
    <t>Niya Upsell Signal</t>
  </si>
  <si>
    <t xml:space="preserve">  Pricing &amp; Trial</t>
  </si>
  <si>
    <t>Pricing &amp; Trial</t>
  </si>
  <si>
    <t>Free Trial</t>
  </si>
  <si>
    <t>1 month free</t>
  </si>
  <si>
    <t>Category-based pricing</t>
  </si>
  <si>
    <t>Pricing is set per category; Niya presents the right number for the business automatically</t>
  </si>
  <si>
    <t>Niya subscription guidance</t>
  </si>
  <si>
    <t>Niya never shows a price list — she explains value, matches tier to goals, and proposes</t>
  </si>
  <si>
    <t xml:space="preserve">  Publishing Drops</t>
  </si>
  <si>
    <t>Publishing Drops</t>
  </si>
  <si>
    <t>Drops per month</t>
  </si>
  <si>
    <t>5 / mo</t>
  </si>
  <si>
    <t>20 / mo</t>
  </si>
  <si>
    <t>Starter hits 5-drop cap → Niya suggests Growth</t>
  </si>
  <si>
    <t>2</t>
  </si>
  <si>
    <t>5</t>
  </si>
  <si>
    <t>Business tries to post a 2nd active drop → upgrade prompt</t>
  </si>
  <si>
    <t>Drop live window</t>
  </si>
  <si>
    <t>72 hrs</t>
  </si>
  <si>
    <t>Business asks to schedule in advance → Growth feature reveal</t>
  </si>
  <si>
    <t>Custom reusable drop URLs</t>
  </si>
  <si>
    <t xml:space="preserve">  Capacity &amp; Scale</t>
  </si>
  <si>
    <t>Capacity &amp; Scale</t>
  </si>
  <si>
    <t>Max capacity per drop</t>
  </si>
  <si>
    <t>250</t>
  </si>
  <si>
    <t>750</t>
  </si>
  <si>
    <t>2,000</t>
  </si>
  <si>
    <t>Business routinely sells out at cap → capacity limit reached, suggest Growth or Pro</t>
  </si>
  <si>
    <t>Waitlist management</t>
  </si>
  <si>
    <t>Drop sells out → Niya shows waitlist as a Growth feature</t>
  </si>
  <si>
    <t>Custom ticket types (VIP, Early Access)</t>
  </si>
  <si>
    <t xml:space="preserve">  AI &amp; Content</t>
  </si>
  <si>
    <t>AI &amp; Content</t>
  </si>
  <si>
    <t>Basic
(guided prompts)</t>
  </si>
  <si>
    <t>Enhanced
(auto-suggestions)</t>
  </si>
  <si>
    <t>Advanced
(playbooks + optimization)</t>
  </si>
  <si>
    <t>Business asks Niya to "just write it for me" → Enhanced AI = Growth</t>
  </si>
  <si>
    <t>Business asks when to post → Growth feature reveal</t>
  </si>
  <si>
    <t>Business has lapsed customers → Pro feature reveal</t>
  </si>
  <si>
    <t>AI token allowance (monthly)</t>
  </si>
  <si>
    <t>Included</t>
  </si>
  <si>
    <t>Business wants AI to do more heavy lifting → token tier intro</t>
  </si>
  <si>
    <t>AI-generated drop images</t>
  </si>
  <si>
    <t>Future</t>
  </si>
  <si>
    <t>v2 — flag interest for roadmap; Niya notes "coming soon"</t>
  </si>
  <si>
    <t>AI-generated drop videos</t>
  </si>
  <si>
    <t>v2 — flag interest for roadmap</t>
  </si>
  <si>
    <t>Drop media (photo / video)</t>
  </si>
  <si>
    <t>Photo required</t>
  </si>
  <si>
    <t>Photo or video</t>
  </si>
  <si>
    <t>Photo or video
(video preferred)</t>
  </si>
  <si>
    <t xml:space="preserve">  Reach &amp; Discovery</t>
  </si>
  <si>
    <t>Reach &amp; Discovery</t>
  </si>
  <si>
    <t>Nigh feed placement</t>
  </si>
  <si>
    <t>Standard</t>
  </si>
  <si>
    <t>Priority</t>
  </si>
  <si>
    <t>Premium</t>
  </si>
  <si>
    <t>Dedicated</t>
  </si>
  <si>
    <t>Business wants more eyeballs → feed placement as tangible Growth/Pro benefit</t>
  </si>
  <si>
    <t>Push notifications</t>
  </si>
  <si>
    <t>SMS included</t>
  </si>
  <si>
    <t>500 / mo</t>
  </si>
  <si>
    <t>1,000 / mo</t>
  </si>
  <si>
    <t>Business asks about texting customers → SMS = Growth feature</t>
  </si>
  <si>
    <t>Direct offers by phone</t>
  </si>
  <si>
    <t>Geo buy zone</t>
  </si>
  <si>
    <t>Pre-hype zone (outer radius, view-only)</t>
  </si>
  <si>
    <t>Business wants to build hype before go-live → Pro feature reveal</t>
  </si>
  <si>
    <t xml:space="preserve">  Partners &amp; Sponsors</t>
  </si>
  <si>
    <t>Partners &amp; Sponsors</t>
  </si>
  <si>
    <t>10</t>
  </si>
  <si>
    <t>Business tries to add a 2nd partner → Growth prompt; 4th partner → Pro prompt</t>
  </si>
  <si>
    <t>Sponsor co-drops</t>
  </si>
  <si>
    <t>Business asks about brand sponsorship → Growth feature reveal</t>
  </si>
  <si>
    <t xml:space="preserve">  Dynamic Pricing</t>
  </si>
  <si>
    <t>Business asks "can I lower price if slow?" → Growth feature reveal</t>
  </si>
  <si>
    <t>Business mentions end-of-night unsold inventory → dynamic pricing pitch</t>
  </si>
  <si>
    <t>Bundling &amp; upsells at checkout</t>
  </si>
  <si>
    <t>Sponsor-subsidized pricing</t>
  </si>
  <si>
    <t xml:space="preserve">  Analytics</t>
  </si>
  <si>
    <t>Basic analytics (views, CTR)</t>
  </si>
  <si>
    <t>Standard analytics (conversion funnel)</t>
  </si>
  <si>
    <t>Business asks "how many people actually bought?" → Growth analytics pitch</t>
  </si>
  <si>
    <t>Advanced analytics + revenue tracking</t>
  </si>
  <si>
    <t>Business wants to track ROI or compare drops → Pro analytics pitch</t>
  </si>
  <si>
    <t>Data export (CSV)</t>
  </si>
  <si>
    <t xml:space="preserve">  Customers &amp; Team</t>
  </si>
  <si>
    <t>Customers &amp; Team</t>
  </si>
  <si>
    <t>Customer list</t>
  </si>
  <si>
    <t>Basic</t>
  </si>
  <si>
    <t>Customer segmentation (new, repeat, lapsed, VIP)</t>
  </si>
  <si>
    <t>Business asks "how do I reach my regulars?" → Growth CRM feature</t>
  </si>
  <si>
    <t>Bulk messaging to customers</t>
  </si>
  <si>
    <t xml:space="preserve">  Platform &amp; API</t>
  </si>
  <si>
    <t>Platform &amp; API</t>
  </si>
  <si>
    <t>API access (embed drops)</t>
  </si>
  <si>
    <t>Business mentions app or website integration → Pro API pitch</t>
  </si>
  <si>
    <t>White-label / custom branding</t>
  </si>
  <si>
    <t>Business asks about removing "Nigh" branding → Pro feature reveal</t>
  </si>
  <si>
    <t xml:space="preserve">  Enterprise &amp; Multi-Location</t>
  </si>
  <si>
    <t>Multi-location management</t>
  </si>
  <si>
    <t>Business mentions a second location → Enterprise conversation starter for Niya</t>
  </si>
  <si>
    <t>Parent / child account hierarchy</t>
  </si>
  <si>
    <t>Cross-location coordinated drops</t>
  </si>
  <si>
    <t>Single Sign-On (SSO)</t>
  </si>
  <si>
    <t>Enterprise billing (consolidated)</t>
  </si>
  <si>
    <t>LDS API (3rd-party app distribution)</t>
  </si>
  <si>
    <t>v2 enterprise feature — flag large venue / chain interest</t>
  </si>
  <si>
    <t xml:space="preserve">  Support</t>
  </si>
  <si>
    <t>Support level</t>
  </si>
  <si>
    <t>Dedicated + SLA</t>
  </si>
  <si>
    <t>Dedicated implementation</t>
  </si>
  <si>
    <t xml:space="preserve">  Coming in v2+  (not in v1 launch)</t>
  </si>
  <si>
    <t>AI-generated images</t>
  </si>
  <si>
    <t>Note interest — roadmap priority signal</t>
  </si>
  <si>
    <t>AI-generated videos</t>
  </si>
  <si>
    <t>LDS API (TikTok, Siri, Google…)</t>
  </si>
  <si>
    <t>Pre-hype / FOMO multi-zone config</t>
  </si>
  <si>
    <t>AR / VR drop previews</t>
  </si>
  <si>
    <t>Proof-of-attendance badges / tokens</t>
  </si>
  <si>
    <t>Live streaming integration</t>
  </si>
  <si>
    <t>Community matchmaking</t>
  </si>
  <si>
    <t>Digital twin / venue mirror</t>
  </si>
  <si>
    <t xml:space="preserve">  Niya Upgrade Triggers — When to Recommend the Next Tier</t>
  </si>
  <si>
    <t>Transition</t>
  </si>
  <si>
    <t>Signal Niya Detects</t>
  </si>
  <si>
    <t>How Niya Frames It</t>
  </si>
  <si>
    <t>Starter → Growth</t>
  </si>
  <si>
    <t>Hits monthly drop limit 2+ times; tries to add a 2nd partner; asks about scheduling or FOMO; posts 3+ drops in first 30 days</t>
  </si>
  <si>
    <t>"You're getting real traction. Growth gives you 4x more drops, partner co-drops, and dynamic pricing — want to see what that looks like for your category?"</t>
  </si>
  <si>
    <t>Asks about dynamic pricing or end-of-night discounts</t>
  </si>
  <si>
    <t>"That's a Growth feature — you can automatically drop prices as capacity fills or the night winds down. Here's how it would work for you."</t>
  </si>
  <si>
    <t>Growth → Pro</t>
  </si>
  <si>
    <t>Wants API/webhooks; requests white-label; asks about revenue tracking or advanced analytics</t>
  </si>
  <si>
    <t>"Pro unlocks the full AI suite, revenue dashboard, and API access — here's what your numbers might look like at this volume."</t>
  </si>
  <si>
    <t>Has 8+ partner drops in a month (near 10-partner ceiling)</t>
  </si>
  <si>
    <t>"You're close to the partner limit on Growth. Pro gives you up to 10 partners per drop and full dynamic pricing. Ready to see the details?"</t>
  </si>
  <si>
    <t>Pro → Enterprise</t>
  </si>
  <si>
    <t>Mentions a second location or asks about centralized billing/reporting</t>
  </si>
  <si>
    <t>"It sounds like you're ready to expand. Enterprise gives you a parent account that ties all locations together — let's set up a call to build the right structure."</t>
  </si>
  <si>
    <t>Asks for SSO, compliance docs, or custom contract</t>
  </si>
  <si>
    <t>"Those are enterprise features. I can connect you with the team to scope a custom agreement."</t>
  </si>
  <si>
    <t>⚠  Pricing shown as category placeholders only — never expose to customers. Niya presents tier value and proposes the right plan per business based on category and usage.</t>
  </si>
  <si>
    <t>— Future —</t>
  </si>
  <si>
    <t>Food &amp; Beverage</t>
  </si>
  <si>
    <t>Retail &amp; Commerce</t>
  </si>
  <si>
    <t>Personal Services</t>
  </si>
  <si>
    <t>Healthcare &amp; Wellness</t>
  </si>
  <si>
    <t>Fitness &amp; Recreation</t>
  </si>
  <si>
    <t>Entertainment &amp; Culture</t>
  </si>
  <si>
    <t>Travel &amp; Hospitality</t>
  </si>
  <si>
    <t>Automotive &amp; Mobility</t>
  </si>
  <si>
    <t>Events &amp; Experiences</t>
  </si>
  <si>
    <t>Community &amp; Nonprofit</t>
  </si>
  <si>
    <t>Enterprise (Cross-Category)</t>
  </si>
  <si>
    <t>Feature</t>
  </si>
  <si>
    <t>Free
(Future)</t>
  </si>
  <si>
    <t>Starter
(1 mo. free trial)</t>
  </si>
  <si>
    <t>Monthly Price (Placeholder)</t>
  </si>
  <si>
    <t>$49/mo</t>
  </si>
  <si>
    <t>$149/mo</t>
  </si>
  <si>
    <t>$299/mo</t>
  </si>
  <si>
    <t>$79/mo</t>
  </si>
  <si>
    <t>$199/mo</t>
  </si>
  <si>
    <t>$399/mo</t>
  </si>
  <si>
    <t>$129/mo</t>
  </si>
  <si>
    <t>$249/mo</t>
  </si>
  <si>
    <t>$69/mo</t>
  </si>
  <si>
    <t>$179/mo</t>
  </si>
  <si>
    <t>$349/mo</t>
  </si>
  <si>
    <t>$99/mo</t>
  </si>
  <si>
    <t>$499/mo</t>
  </si>
  <si>
    <t>$599/mo</t>
  </si>
  <si>
    <t>$29/mo</t>
  </si>
  <si>
    <t>$199/mo (placeholder)</t>
  </si>
  <si>
    <t>$499/mo (placeholder)</t>
  </si>
  <si>
    <t>$999/mo (placeholder)</t>
  </si>
  <si>
    <t>Ticket Fee (Placeholder)</t>
  </si>
  <si>
    <t>3% + $0.75 / ticket (placeholder)</t>
  </si>
  <si>
    <t>Max Capacity per Drop (default cap)</t>
  </si>
  <si>
    <t>50</t>
  </si>
  <si>
    <t>2000</t>
  </si>
  <si>
    <t>75</t>
  </si>
  <si>
    <t>300</t>
  </si>
  <si>
    <t>1000</t>
  </si>
  <si>
    <t>5000</t>
  </si>
  <si>
    <t>30</t>
  </si>
  <si>
    <t>80</t>
  </si>
  <si>
    <t>200</t>
  </si>
  <si>
    <t>40</t>
  </si>
  <si>
    <t>150</t>
  </si>
  <si>
    <t>500</t>
  </si>
  <si>
    <t>120</t>
  </si>
  <si>
    <t>400</t>
  </si>
  <si>
    <t>1200</t>
  </si>
  <si>
    <t>100</t>
  </si>
  <si>
    <t>10000</t>
  </si>
  <si>
    <t>25000</t>
  </si>
  <si>
    <t>N/A</t>
  </si>
  <si>
    <t>N/A (viewer)</t>
  </si>
  <si>
    <t>Max Live Drops at once</t>
  </si>
  <si>
    <t>Appointment Slots per Drop (if appt)</t>
  </si>
  <si>
    <t>12</t>
  </si>
  <si>
    <t>15</t>
  </si>
  <si>
    <t>8</t>
  </si>
  <si>
    <t>20</t>
  </si>
  <si>
    <t>60</t>
  </si>
  <si>
    <t>Appointment Mode Enabled</t>
  </si>
  <si>
    <t>Format / Product</t>
  </si>
  <si>
    <t>Optional</t>
  </si>
  <si>
    <t>Yes</t>
  </si>
  <si>
    <t>Event Mode Enabled</t>
  </si>
  <si>
    <t>Mobile Venue per Drop (Support approval in v1)</t>
  </si>
  <si>
    <t>Included (approval in v1)</t>
  </si>
  <si>
    <t>Support approval</t>
  </si>
  <si>
    <t>Buy Zone (radius + shrink)</t>
  </si>
  <si>
    <t>Distribution / Guardrails</t>
  </si>
  <si>
    <t># Partners allowed per Drop</t>
  </si>
  <si>
    <t>0</t>
  </si>
  <si>
    <t>Content</t>
  </si>
  <si>
    <t>Photo Required</t>
  </si>
  <si>
    <t>Photo OR Video</t>
  </si>
  <si>
    <t>Photo OR Video (Video preferred)</t>
  </si>
  <si>
    <t>AI Assistant (copy + setup)</t>
  </si>
  <si>
    <t>AI</t>
  </si>
  <si>
    <t>Basic (guided prompts)</t>
  </si>
  <si>
    <t>Enhanced (auto-suggestions)</t>
  </si>
  <si>
    <t>Advanced (playbooks + optimization)</t>
  </si>
  <si>
    <t>Yes (&gt;90% auto)</t>
  </si>
  <si>
    <t>Analytics – Basic</t>
  </si>
  <si>
    <t>Limited</t>
  </si>
  <si>
    <t>Yes (roll-up)</t>
  </si>
  <si>
    <t>Analytics – Advanced</t>
  </si>
  <si>
    <t>Standard (roll-up)</t>
  </si>
  <si>
    <t>Full (roll-up)</t>
  </si>
  <si>
    <t>Full + exports (future)</t>
  </si>
  <si>
    <t>Community</t>
  </si>
  <si>
    <t>Priority + SLA (future)</t>
  </si>
  <si>
    <t>Dedicated (future)</t>
  </si>
  <si>
    <t>Platform</t>
  </si>
  <si>
    <t>Org-level</t>
  </si>
  <si>
    <t>Enterprise + Org-level</t>
  </si>
  <si>
    <t>Custom Reusable URLs (add-on)</t>
  </si>
  <si>
    <t>Add-ons</t>
  </si>
  <si>
    <t>Collections (future module)</t>
  </si>
  <si>
    <t>Future (enable later)</t>
  </si>
  <si>
    <t>Enterprise Roll-up Dashboard (parent view)</t>
  </si>
  <si>
    <t>Optional add-on</t>
  </si>
  <si>
    <t>Nigh — Subscription Tiers</t>
  </si>
  <si>
    <t>All plans include a 3% + $0.75/ticket transaction fee on priced Drops. Free ($0.00) Drops have no transaction fee.</t>
  </si>
  <si>
    <t>Free Trial
(1 Month)</t>
  </si>
  <si>
    <t>Starter
$25 / month</t>
  </si>
  <si>
    <t>Growth
$50 / month</t>
  </si>
  <si>
    <t>Pro
$100 / month</t>
  </si>
  <si>
    <t>Mirror of Starter tier</t>
  </si>
  <si>
    <t>First month free</t>
  </si>
  <si>
    <t>Referred biz: first month free</t>
  </si>
  <si>
    <t>Contact us</t>
  </si>
  <si>
    <t>DROPS</t>
  </si>
  <si>
    <t>10/month</t>
  </si>
  <si>
    <t>1 per day (~30/mo)</t>
  </si>
  <si>
    <t>3 per day (~90/mo)</t>
  </si>
  <si>
    <t>Slots per Drop</t>
  </si>
  <si>
    <t>1 slot</t>
  </si>
  <si>
    <t>3 slots</t>
  </si>
  <si>
    <t>Up to 48 hrs</t>
  </si>
  <si>
    <t>Up to 72 hrs</t>
  </si>
  <si>
    <t>New vs. existing customer pricing</t>
  </si>
  <si>
    <t>REACH</t>
  </si>
  <si>
    <t>In-app &amp; push notifications</t>
  </si>
  <si>
    <t>SMS (included/month)</t>
  </si>
  <si>
    <t>500 msgs</t>
  </si>
  <si>
    <t>1,000 msgs</t>
  </si>
  <si>
    <t>High volume</t>
  </si>
  <si>
    <t>SMS overage rate</t>
  </si>
  <si>
    <t>Direct Offers (by phone)</t>
  </si>
  <si>
    <t>Partner invitations</t>
  </si>
  <si>
    <t>TOOLS &amp; AI</t>
  </si>
  <si>
    <t>AI Drop creation</t>
  </si>
  <si>
    <t>+ Timing suggestions</t>
  </si>
  <si>
    <t>Full suite</t>
  </si>
  <si>
    <t>AI re-engagement &amp; coaching</t>
  </si>
  <si>
    <t>Ticket management + check-in</t>
  </si>
  <si>
    <t>Advanced + revenue tracking</t>
  </si>
  <si>
    <t>API access (embed Drops)</t>
  </si>
  <si>
    <t>Centralized customer list (multi-loc)</t>
  </si>
  <si>
    <t>CUSTOMERS &amp; STAFF</t>
  </si>
  <si>
    <t>AI support</t>
  </si>
  <si>
    <t>Human escalation</t>
  </si>
  <si>
    <t>Custom onboarding</t>
  </si>
  <si>
    <t>SLA / uptime guarantee</t>
  </si>
  <si>
    <t>BILLING</t>
  </si>
  <si>
    <t>Transaction fee (priced Drops)</t>
  </si>
  <si>
    <t>3% + $0.75</t>
  </si>
  <si>
    <t>Free ($0) Drops transaction fee</t>
  </si>
  <si>
    <t>Free (1 month)</t>
  </si>
  <si>
    <t>$25/mo</t>
  </si>
  <si>
    <t>$50/mo</t>
  </si>
  <si>
    <t>$100/mo</t>
  </si>
  <si>
    <t>REFERRAL PROGRAM</t>
  </si>
  <si>
    <t>Referral reward (for referrer)</t>
  </si>
  <si>
    <t>$25 credit</t>
  </si>
  <si>
    <t>Referred business benefit</t>
  </si>
  <si>
    <t>1st month of Growth free</t>
  </si>
  <si>
    <t>Referral credits redeemable on</t>
  </si>
  <si>
    <t>Subscriptions</t>
  </si>
  <si>
    <t>1.</t>
  </si>
  <si>
    <t>2.</t>
  </si>
  <si>
    <t>3.</t>
  </si>
  <si>
    <t>4.</t>
  </si>
  <si>
    <t>5.</t>
  </si>
  <si>
    <t>6.</t>
  </si>
  <si>
    <t>Nigh Credit Card Fee Model by Category</t>
  </si>
  <si>
    <t>Illustrative planning model for team / advisor conversations. Blue cells are editable assumptions.</t>
  </si>
  <si>
    <t>Global Assumptions</t>
  </si>
  <si>
    <t>Sources / Notes</t>
  </si>
  <si>
    <t>Base effective card processing fee %</t>
  </si>
  <si>
    <t>• U.S. merchants paid about $187.2bn in credit/debit swipe fees in 2024 (NRF).</t>
  </si>
  <si>
    <t>Low fee case %</t>
  </si>
  <si>
    <t>• Typical merchant processing fees often range ~1.5% to 3.5% of transaction value (Forbes Advisor / Bankrate).</t>
  </si>
  <si>
    <t>High fee case %</t>
  </si>
  <si>
    <t>• Category annual sales and card-mix inputs below are illustrative planning assumptions, not sourced category averages.</t>
  </si>
  <si>
    <t>Illustrative Nigh Coin fee reduction %</t>
  </si>
  <si>
    <t>• Model is designed to show the order of magnitude of annual fee burden and possible savings if future Nigh Coin / settlement rails materially reduce processing costs.</t>
  </si>
  <si>
    <t>Locations scenario #1</t>
  </si>
  <si>
    <t>Locations scenario #2</t>
  </si>
  <si>
    <t>Category</t>
  </si>
  <si>
    <t>Illustrative Example</t>
  </si>
  <si>
    <t>Annual Gross Sales ($)</t>
  </si>
  <si>
    <t>% of Sales on Cards</t>
  </si>
  <si>
    <t>Annual Card Volume ($)</t>
  </si>
  <si>
    <t>Processing Fee %</t>
  </si>
  <si>
    <t>Current Annual Card Fees ($)</t>
  </si>
  <si>
    <t>Projected Fees with Nigh Coin ($)</t>
  </si>
  <si>
    <t>Annual Savings / Location ($)</t>
  </si>
  <si>
    <t>Savings as % of Sales</t>
  </si>
  <si>
    <t>10-Location Savings ($)</t>
  </si>
  <si>
    <t>100-Location Savings ($)</t>
  </si>
  <si>
    <t>Confidence</t>
  </si>
  <si>
    <t>Food &amp; Drink</t>
  </si>
  <si>
    <t>Restaurant / Café / Bar</t>
  </si>
  <si>
    <t>High card mix; fees compound quickly</t>
  </si>
  <si>
    <t>Illustrative</t>
  </si>
  <si>
    <t>Retail</t>
  </si>
  <si>
    <t>Boutique / Specialty Retail</t>
  </si>
  <si>
    <t>Large addressable category incl. chains</t>
  </si>
  <si>
    <t>Health &amp; Fitness</t>
  </si>
  <si>
    <t>Gym / Studio</t>
  </si>
  <si>
    <t>Recurring membership + class spend</t>
  </si>
  <si>
    <t>Beauty &amp; Wellness</t>
  </si>
  <si>
    <t>Salon / Spa</t>
  </si>
  <si>
    <t>Service-heavy but still meaningful card spend</t>
  </si>
  <si>
    <t>Entertainment &amp; Experiences</t>
  </si>
  <si>
    <t>Venue / Activity Operator</t>
  </si>
  <si>
    <t>High conversion to card-present transactions</t>
  </si>
  <si>
    <t>Events &amp; Pop-Ups</t>
  </si>
  <si>
    <t>Mobile / Event Operator</t>
  </si>
  <si>
    <t>Strong fit for future flexible-location settlement</t>
  </si>
  <si>
    <t>Professional &amp; Local Services</t>
  </si>
  <si>
    <t>Pet / Auto / Service Retail</t>
  </si>
  <si>
    <t>Lower card mix but still large fee pool</t>
  </si>
  <si>
    <t>Franchise Unit</t>
  </si>
  <si>
    <t>QSR / Fitness / Service Franchise</t>
  </si>
  <si>
    <t>Useful for local-store marketing + fee-savings story</t>
  </si>
  <si>
    <t>Large National Brand Location</t>
  </si>
  <si>
    <t>Big Box / Chain Unit (e.g., Best Buy)</t>
  </si>
  <si>
    <t>Per-location economics can be very meaningful</t>
  </si>
  <si>
    <t>Venue / Stadium / Major Event Site</t>
  </si>
  <si>
    <t>Broncos Stadium / Concert Venue</t>
  </si>
  <si>
    <t>Large episodic fee burden with strong IRL verification</t>
  </si>
  <si>
    <t>Modeled Total</t>
  </si>
  <si>
    <t>Headline Takeaways</t>
  </si>
  <si>
    <t>Modeled annual current fees across sample categories</t>
  </si>
  <si>
    <t>Modeled annual savings across sample categories (Nigh Coin scenario)</t>
  </si>
  <si>
    <t>Average modeled fee burden as % of sales</t>
  </si>
  <si>
    <t>PRICING</t>
  </si>
  <si>
    <t>Nigh — Subscription Capability Analysis</t>
  </si>
  <si>
    <t>Comprehensive breakdown of 94 capabilities by monetization strategy. Balances growth drivers vs. revenue levers.</t>
  </si>
  <si>
    <t>Tier Mapping</t>
  </si>
  <si>
    <t>Strategy</t>
  </si>
  <si>
    <t>Reasoning</t>
  </si>
  <si>
    <t>Drops — volume &amp; format</t>
  </si>
  <si>
    <t>Drops per day/week/month</t>
  </si>
  <si>
    <t>Free: 3/wk | Starter: 2/day | Pro: unlimited</t>
  </si>
  <si>
    <t>Tier-gated</t>
  </si>
  <si>
    <t>Light throttle prevents spam. The jump from 3/wk to 2/day is the key upgrade trigger.</t>
  </si>
  <si>
    <t>Free: 1 | Starter: 1 | Pro: 3 | Enterprise: custom</t>
  </si>
  <si>
    <t>Natural scaling lever — most personal hosts only need 1.</t>
  </si>
  <si>
    <t>All tiers: 48hr | Pro: 72hr</t>
  </si>
  <si>
    <t>Keep free (growth)</t>
  </si>
  <si>
    <t>Keep generous — broadcast window already enforces spontaneity.</t>
  </si>
  <si>
    <t>Drop scheduling (future publish)</t>
  </si>
  <si>
    <t>Free: — | Starter: — | Growth+: ✓</t>
  </si>
  <si>
    <t>Leverage feature, not core. Spontaneity is the brand.</t>
  </si>
  <si>
    <t>Free: — | Growth+: ✓</t>
  </si>
  <si>
    <t>Operational convenience for active businesses.</t>
  </si>
  <si>
    <t>Drop templates / saved settings</t>
  </si>
  <si>
    <t>Productivity tool for repeat operators.</t>
  </si>
  <si>
    <t>All tiers: ✓</t>
  </si>
  <si>
    <t>Core product — must be free everywhere.</t>
  </si>
  <si>
    <t>Core format — personal services depend on this.</t>
  </si>
  <si>
    <t>Revenue optimization for paid hosts.</t>
  </si>
  <si>
    <t>Drives FOMO and conversion for active businesses.</t>
  </si>
  <si>
    <t>Capacity &amp; scale</t>
  </si>
  <si>
    <t>Free: 20 | Starter: 50-250 | Pro: unlimited</t>
  </si>
  <si>
    <t>THE key monetization lever. Category-specific caps make sense.</t>
  </si>
  <si>
    <t>Mobile / pop-up venue support</t>
  </si>
  <si>
    <t>Trust/risk control for mobile businesses.</t>
  </si>
  <si>
    <t>Revenue &amp; pricing</t>
  </si>
  <si>
    <t>Paid drops &amp; ticketing</t>
  </si>
  <si>
    <t>Free: — | Starter+: ✓</t>
  </si>
  <si>
    <t>THE verification gateway — drives Starter adoption.</t>
  </si>
  <si>
    <t>Platform fee on paid drops</t>
  </si>
  <si>
    <t>Starter: 5% | Pro: 3% | Enterprise: 1.5%</t>
  </si>
  <si>
    <t>High-volume hosts upgrade to reduce fees. Usage-aligned.</t>
  </si>
  <si>
    <t>Dynamic pricing (demand-based)</t>
  </si>
  <si>
    <t>Intelligence feature — exactly what tiers should monetize.</t>
  </si>
  <si>
    <t>Smart revenue recovery. Great upsell from Starter.</t>
  </si>
  <si>
    <t>Free: — | Pro+: ✓</t>
  </si>
  <si>
    <t>Advanced pricing — Pro-level sophistication.</t>
  </si>
  <si>
    <t>Complexity and revenue optimization — Pro feature.</t>
  </si>
  <si>
    <t>CRM-powered pricing — requires customer data depth.</t>
  </si>
  <si>
    <t>Revenue dashboard</t>
  </si>
  <si>
    <t>Must-have for any paying host.</t>
  </si>
  <si>
    <t>Partner feature — Growth and above.</t>
  </si>
  <si>
    <t>AI &amp; intelligence</t>
  </si>
  <si>
    <t>AI drop creation (Niya)</t>
  </si>
  <si>
    <t>Free: basic | Starter: basic | Growth: enhanced | Pro: advanced</t>
  </si>
  <si>
    <t>Keep basic Niya free for ALL hosts. Charge for intelligence depth.</t>
  </si>
  <si>
    <t>Intelligence depth — exactly what tiers should monetize.</t>
  </si>
  <si>
    <t>Advanced intelligence requiring CRM data.</t>
  </si>
  <si>
    <t>Starter+: ✓</t>
  </si>
  <si>
    <t>Benefits Nigh's ops as much as hosts — keep free.</t>
  </si>
  <si>
    <t>Pro: included | Enterprise: custom</t>
  </si>
  <si>
    <t>Add-on / usage</t>
  </si>
  <si>
    <t>Usage-based AI monetization. Good à la carte option.</t>
  </si>
  <si>
    <t>AI predictive demand planning</t>
  </si>
  <si>
    <t>Pro+: ✓</t>
  </si>
  <si>
    <t>Advanced intelligence. High value for power users.</t>
  </si>
  <si>
    <t>Future (all tiers)</t>
  </si>
  <si>
    <t>Token-consumptive. Perfect for add-on/token model.</t>
  </si>
  <si>
    <t>Distribution &amp; reach</t>
  </si>
  <si>
    <t>Free: standard | Growth: priority | Pro: premium</t>
  </si>
  <si>
    <t>Feed placement drives real value. Tangible upgrade.</t>
  </si>
  <si>
    <t>CRITICAL for growth. Never gate this.</t>
  </si>
  <si>
    <t>Viral growth mechanism. Free everywhere.</t>
  </si>
  <si>
    <t>Growth driver. Gating social sharing is self-defeating.</t>
  </si>
  <si>
    <t>Geo buy zone (radius + shrink)</t>
  </si>
  <si>
    <t>Core product differentiator. This IS Nigh.</t>
  </si>
  <si>
    <t>Pre-hype zone (outer radius view-only)</t>
  </si>
  <si>
    <t>Sophisticated distribution. Pro-level.</t>
  </si>
  <si>
    <t>Reach amplifier. Good Growth trigger.</t>
  </si>
  <si>
    <t>Priority in discover feed</t>
  </si>
  <si>
    <t>Paid visibility boost. Clear upgrade value.</t>
  </si>
  <si>
    <t>SMS &amp; messaging</t>
  </si>
  <si>
    <t>SMS notifications (included volume)</t>
  </si>
  <si>
    <t>Free: — | Growth: 500/mo | Pro: 1000/mo</t>
  </si>
  <si>
    <t>Hard cost (carrier fees). Must be tiered.</t>
  </si>
  <si>
    <t>Usage-based. Fair and transparent.</t>
  </si>
  <si>
    <t>Custom email/SMS templates</t>
  </si>
  <si>
    <t>Branding feature. Growth and above.</t>
  </si>
  <si>
    <t>Power tool with spam risk — Pro-level.</t>
  </si>
  <si>
    <t>CRM feature requiring customer data.</t>
  </si>
  <si>
    <t>Guests &amp; check-in</t>
  </si>
  <si>
    <t>Core operational tool. Free everywhere.</t>
  </si>
  <si>
    <t>Offline check-in mode</t>
  </si>
  <si>
    <t>Reliability feature for high-volume events.</t>
  </si>
  <si>
    <t>Ticket transfer / resale controls</t>
  </si>
  <si>
    <t>Control feature for paid events.</t>
  </si>
  <si>
    <t>Capacity alerts (real-time)</t>
  </si>
  <si>
    <t>Useful operational alert. Low barrier.</t>
  </si>
  <si>
    <t>Social feature. Drives network effect.</t>
  </si>
  <si>
    <t>Basic expectation. Must be free.</t>
  </si>
  <si>
    <t>Basic analytics (views, CTR, attendance)</t>
  </si>
  <si>
    <t>Every host needs to see if drops are working.</t>
  </si>
  <si>
    <t>Standard analytics (funnel, repeat rate)</t>
  </si>
  <si>
    <t>Intelligence depth. Growth upgrade trigger.</t>
  </si>
  <si>
    <t>Pro-level business intelligence.</t>
  </si>
  <si>
    <t>Feedback drives quality. Free for all paying hosts.</t>
  </si>
  <si>
    <t>Data portability. Growth feature.</t>
  </si>
  <si>
    <t>Enterprise: ✓</t>
  </si>
  <si>
    <t>Multi-location specific.</t>
  </si>
  <si>
    <t>Basic CRM. Hosts need to see who showed up.</t>
  </si>
  <si>
    <t>Customer notes &amp; tags</t>
  </si>
  <si>
    <t>CRM depth. Growth feature.</t>
  </si>
  <si>
    <t>Customer segmentation</t>
  </si>
  <si>
    <t>Intelligence feature. Great upsell trigger.</t>
  </si>
  <si>
    <t>Retention intelligence. Growth feature.</t>
  </si>
  <si>
    <t>CSV import (contacts)</t>
  </si>
  <si>
    <t>Onboarding convenience. Low barrier.</t>
  </si>
  <si>
    <t>Partners &amp; sponsors</t>
  </si>
  <si>
    <t>Free: 0 | Starter: 1 | Growth: 3 | Pro: 10</t>
  </si>
  <si>
    <t>Natural scaling lever. More partners = more complexity.</t>
  </si>
  <si>
    <t>Measurement tool. Free for all with partners.</t>
  </si>
  <si>
    <t>Sponsorship is advanced. Growth feature.</t>
  </si>
  <si>
    <t>Branding &amp; content</t>
  </si>
  <si>
    <t>Drop media (photo/video)</t>
  </si>
  <si>
    <t>All tiers: photo | Growth+: video preferred</t>
  </si>
  <si>
    <t>Content creation is free. Video preference is guidance.</t>
  </si>
  <si>
    <t>Premium branding. Classic Pro feature.</t>
  </si>
  <si>
    <t>Branding add-on. Pro feature.</t>
  </si>
  <si>
    <t>Free: — | Starter: 1 | Pro: 3 | Enterprise: bulk</t>
  </si>
  <si>
    <t>Physical goods with real cost.</t>
  </si>
  <si>
    <t>Team &amp; staff</t>
  </si>
  <si>
    <t>All tiers: unlimited</t>
  </si>
  <si>
    <t>Don't meter seats — charge for what teams DO.</t>
  </si>
  <si>
    <t>Team members (with permissions)</t>
  </si>
  <si>
    <t>Free: — | Pro: up to 5 | Enterprise: unlimited</t>
  </si>
  <si>
    <t>Governance complexity. Pro feature.</t>
  </si>
  <si>
    <t>Free: — | Enterprise: ✓</t>
  </si>
  <si>
    <t>Compliance/governance. Enterprise only.</t>
  </si>
  <si>
    <t>Platform &amp; integrations</t>
  </si>
  <si>
    <t>Developer feature. Pro and above.</t>
  </si>
  <si>
    <t>Developer/integration feature.</t>
  </si>
  <si>
    <t>Free: — | Pro: add-on | Enterprise: ✓</t>
  </si>
  <si>
    <t>Category-specific. Great add-on module.</t>
  </si>
  <si>
    <t>Enterprise complexity.</t>
  </si>
  <si>
    <t>Defines the Enterprise tier.</t>
  </si>
  <si>
    <t>Enterprise &amp; multi-location</t>
  </si>
  <si>
    <t>Enterprise architecture.</t>
  </si>
  <si>
    <t>Multi-location management.</t>
  </si>
  <si>
    <t>Cross-location drop coordination</t>
  </si>
  <si>
    <t>Enterprise campaign tool.</t>
  </si>
  <si>
    <t>SSO integration</t>
  </si>
  <si>
    <t>Enterprise security requirement.</t>
  </si>
  <si>
    <t>Enterprise convenience.</t>
  </si>
  <si>
    <t>Enterprise requirement.</t>
  </si>
  <si>
    <t>Enterprise sales motion.</t>
  </si>
  <si>
    <t>High-touch Enterprise.</t>
  </si>
  <si>
    <t>Compliance &amp; trust</t>
  </si>
  <si>
    <t>Age verification (21+ drops)</t>
  </si>
  <si>
    <t>Legal requirement. Can't gate compliance.</t>
  </si>
  <si>
    <t>Drop content moderation</t>
  </si>
  <si>
    <t>Platform safety. Always active.</t>
  </si>
  <si>
    <t>THE verification gateway. Drives Starter conversion.</t>
  </si>
  <si>
    <t>AI support (Niya)</t>
  </si>
  <si>
    <t>Scale support via AI. Free for all.</t>
  </si>
  <si>
    <t>Standard / priority support</t>
  </si>
  <si>
    <t>Starter: standard | Growth: priority | Pro: priority</t>
  </si>
  <si>
    <t>Support cost scales with tier.</t>
  </si>
  <si>
    <t>Enterprise SLA.</t>
  </si>
  <si>
    <t>Future / v2+</t>
  </si>
  <si>
    <t>LDS API (3rd-party distribution)</t>
  </si>
  <si>
    <t>Future: Enterprise</t>
  </si>
  <si>
    <t>Major revenue stream. Enterprise/platform play.</t>
  </si>
  <si>
    <t>AR/VR immersive previews</t>
  </si>
  <si>
    <t>Premium experience module.</t>
  </si>
  <si>
    <t>Proof-of-attendance badges</t>
  </si>
  <si>
    <t>Engagement add-on.</t>
  </si>
  <si>
    <t>Content distribution module.</t>
  </si>
  <si>
    <t>Social add-on.</t>
  </si>
  <si>
    <t>Subscription Strategy Summary</t>
  </si>
  <si>
    <t>How 94 capabilities map across monetization strategies</t>
  </si>
  <si>
    <t>Count</t>
  </si>
  <si>
    <t>% of Total</t>
  </si>
  <si>
    <t>Design principle</t>
  </si>
  <si>
    <t>Never meter the core value layer. These capabilities drive downloads, daily usage, and network effects.</t>
  </si>
  <si>
    <t>Charge for leverage, intelligence, and complexity. Capacity, AI depth, analytics, and partners scale naturally with business growth.</t>
  </si>
  <si>
    <t>Add-on / usage-based</t>
  </si>
  <si>
    <t>Per-unit costs (SMS, AI tokens, POS) work best as usage-based add-ons rather than hard tier gates.</t>
  </si>
  <si>
    <t>Multi-location, SSO, compliance, and custom contracts define a fundamentally different buyer and sales motion.</t>
  </si>
  <si>
    <t>TOTAL</t>
  </si>
  <si>
    <t>Top monetization levers (ranked by upgrade impact)</t>
  </si>
  <si>
    <t>Lever</t>
  </si>
  <si>
    <t>Why it works</t>
  </si>
  <si>
    <t>Impact</t>
  </si>
  <si>
    <t>Primary scaling lever. 20 → 50-250 → unlimited drives natural upgrades as hosts grow.</t>
  </si>
  <si>
    <t>High</t>
  </si>
  <si>
    <t>Platform fee ladder (5% → 3% → 1.5%)</t>
  </si>
  <si>
    <t>High-volume hosts self-select into higher tiers to reduce take rate.</t>
  </si>
  <si>
    <t>Paid drops &amp; ticketing (verification gateway)</t>
  </si>
  <si>
    <t>Free → Starter conversion driver. Unlocks revenue tools + verified badge.</t>
  </si>
  <si>
    <t>AI depth (basic → enhanced → advanced)</t>
  </si>
  <si>
    <t>Basic Niya free for all. Enhanced/Advanced drive Growth/Pro upgrades.</t>
  </si>
  <si>
    <t>Feed placement (standard → priority → premium)</t>
  </si>
  <si>
    <t>Tangible visibility upgrade. Hosts can see more eyeballs.</t>
  </si>
  <si>
    <t>Medium-High</t>
  </si>
  <si>
    <t>Analytics depth (basic → funnel → revenue)</t>
  </si>
  <si>
    <t>"Want to know WHY people aren't converting?" drives Growth adoption.</t>
  </si>
  <si>
    <t>Partners per drop (0 → 1 → 3 → 10)</t>
  </si>
  <si>
    <t>Natural collaboration scaling. More partners = more coordination.</t>
  </si>
  <si>
    <t>Medium</t>
  </si>
  <si>
    <t>Drop frequency (3/wk → 2/day → unlimited)</t>
  </si>
  <si>
    <t>Light throttle. Generous enough not to frustrate, tight enough to upsell.</t>
  </si>
  <si>
    <t>SMS volume (0 → 500 → 1000)</t>
  </si>
  <si>
    <t>Hard cost. Must be tiered. Clear value prop.</t>
  </si>
  <si>
    <t>Dynamic pricing tools</t>
  </si>
  <si>
    <t>Intelligence features. Growth and Pro upgrade triggers.</t>
  </si>
  <si>
    <t>Growth protection — never gate these</t>
  </si>
  <si>
    <t>Push notifications to followers — if followers don't get notified, the network dies</t>
  </si>
  <si>
    <t>Link sharing + QR codes — viral growth mechanism</t>
  </si>
  <si>
    <t>Social sharing tools — gating social sharing is self-defeating</t>
  </si>
  <si>
    <t>Geo buy zone — THIS IS NIGH. Core differentiator.</t>
  </si>
  <si>
    <t>Basic analytics — hosts must see if drops are working or they churn</t>
  </si>
  <si>
    <t>Ticket management + check-in — can't run drops without it</t>
  </si>
  <si>
    <t>7.</t>
  </si>
  <si>
    <t>Friend list &amp; groups — drives network effect and adoption</t>
  </si>
  <si>
    <t>8.</t>
  </si>
  <si>
    <t>Staff accounts (unlimited seats) — don't meter seats, charge for what teams DO</t>
  </si>
  <si>
    <t>9.</t>
  </si>
  <si>
    <t>Event + appointment modes — core product formats</t>
  </si>
  <si>
    <t>10.</t>
  </si>
  <si>
    <t>Basic Niya AI — reduces friction for all hosts, drives adoption</t>
  </si>
  <si>
    <t>11.</t>
  </si>
  <si>
    <t>Drop content moderation — platform safety, always active</t>
  </si>
  <si>
    <t>12.</t>
  </si>
  <si>
    <t>Customer list — basic CRM expectation</t>
  </si>
  <si>
    <t>Starter
Free</t>
  </si>
  <si>
    <t xml:space="preserve">Direct offers </t>
  </si>
  <si>
    <t>1. Niya is the same everywhere — she works within whatever capabilities your tier &amp; role/permissions level unlocks.</t>
  </si>
  <si>
    <t>6. Never meter the core value and growth layers: notifications, sharing, geo zone, check-in, basic analytics.</t>
  </si>
  <si>
    <t>Guest PII (email, phone number)</t>
  </si>
  <si>
    <t>This needs to be analyzed deeper. Sharing PII is risky</t>
  </si>
  <si>
    <t>Partner attribution management</t>
  </si>
  <si>
    <t>Compensating partners via Nigh</t>
  </si>
  <si>
    <t>Ability to add gratuity</t>
  </si>
  <si>
    <t>Configurable gratuity setting (after drop)</t>
  </si>
  <si>
    <t>Dual pricing (new vs. in guest list)</t>
  </si>
  <si>
    <t>Pricing Segmentation (up to 3)</t>
  </si>
  <si>
    <t>Age restriction (18+, 21+)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</si>
</sst>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_);[Red]&quot;($&quot;#,##0\)"/>
  </numFmts>
  <fonts count="82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  <charset val="1"/>
    </font>
    <font>
      <i/>
      <sz val="9"/>
      <color rgb="FF6B7280"/>
      <name val="Arial"/>
      <family val="2"/>
      <charset val="1"/>
    </font>
    <font>
      <b/>
      <sz val="10"/>
      <color rgb="FFFFFFFF"/>
      <name val="Arial"/>
      <family val="2"/>
      <charset val="1"/>
    </font>
    <font>
      <sz val="9"/>
      <name val="Arial"/>
      <family val="2"/>
      <charset val="1"/>
    </font>
    <font>
      <b/>
      <sz val="9"/>
      <color rgb="FF1D4ED8"/>
      <name val="Arial"/>
      <family val="2"/>
      <charset val="1"/>
    </font>
    <font>
      <b/>
      <sz val="8"/>
      <name val="Arial"/>
      <family val="2"/>
      <charset val="1"/>
    </font>
    <font>
      <b/>
      <sz val="9"/>
      <color rgb="FF374151"/>
      <name val="Arial"/>
      <family val="2"/>
      <charset val="1"/>
    </font>
    <font>
      <sz val="8"/>
      <color rgb="FF6B7280"/>
      <name val="Arial"/>
      <family val="2"/>
      <charset val="1"/>
    </font>
    <font>
      <b/>
      <sz val="13"/>
      <color rgb="FF1D4ED8"/>
      <name val="Arial"/>
      <family val="2"/>
      <charset val="1"/>
    </font>
    <font>
      <b/>
      <sz val="13"/>
      <color rgb="FFFFFFFF"/>
      <name val="Arial"/>
      <family val="2"/>
      <charset val="1"/>
    </font>
    <font>
      <i/>
      <sz val="9"/>
      <color rgb="FF374151"/>
      <name val="Arial"/>
      <family val="2"/>
      <charset val="1"/>
    </font>
    <font>
      <b/>
      <sz val="9"/>
      <color rgb="FF1B2A4A"/>
      <name val="Arial"/>
      <family val="2"/>
      <charset val="1"/>
    </font>
    <font>
      <b/>
      <sz val="9"/>
      <color rgb="FFFFFFFF"/>
      <name val="Arial"/>
      <family val="2"/>
      <charset val="1"/>
    </font>
    <font>
      <sz val="9"/>
      <color rgb="FF111827"/>
      <name val="Arial"/>
      <family val="2"/>
      <charset val="1"/>
    </font>
    <font>
      <sz val="9"/>
      <color rgb="FF374151"/>
      <name val="Arial"/>
      <family val="2"/>
      <charset val="1"/>
    </font>
    <font>
      <sz val="10"/>
      <color rgb="FFCBD5E1"/>
      <name val="Arial"/>
      <family val="2"/>
      <charset val="1"/>
    </font>
    <font>
      <sz val="8"/>
      <color rgb="FFA0ADB8"/>
      <name val="Arial"/>
      <family val="2"/>
      <charset val="1"/>
    </font>
    <font>
      <b/>
      <sz val="10"/>
      <color rgb="FF16A34A"/>
      <name val="Arial"/>
      <family val="2"/>
      <charset val="1"/>
    </font>
    <font>
      <sz val="8"/>
      <color rgb="FF92400E"/>
      <name val="Arial"/>
      <family val="2"/>
      <charset val="1"/>
    </font>
    <font>
      <b/>
      <sz val="9"/>
      <color rgb="FFD97706"/>
      <name val="Arial"/>
      <family val="2"/>
      <charset val="1"/>
    </font>
    <font>
      <i/>
      <sz val="9"/>
      <color rgb="FFA0ADB8"/>
      <name val="Arial"/>
      <family val="2"/>
      <charset val="1"/>
    </font>
    <font>
      <b/>
      <sz val="9"/>
      <color rgb="FFA0ADB8"/>
      <name val="Arial"/>
      <family val="2"/>
      <charset val="1"/>
    </font>
    <font>
      <i/>
      <sz val="8"/>
      <color rgb="FF94A3B8"/>
      <name val="Arial"/>
      <family val="2"/>
      <charset val="1"/>
    </font>
    <font>
      <i/>
      <sz val="8"/>
      <color rgb="FFA0ADB8"/>
      <name val="Arial"/>
      <family val="2"/>
      <charset val="1"/>
    </font>
    <font>
      <b/>
      <sz val="8"/>
      <color rgb="FF1B2A4A"/>
      <name val="Arial"/>
      <family val="2"/>
      <charset val="1"/>
    </font>
    <font>
      <sz val="8"/>
      <color rgb="FF374151"/>
      <name val="Arial"/>
      <family val="2"/>
      <charset val="1"/>
    </font>
    <font>
      <i/>
      <sz val="8"/>
      <color rgb="FF6B7280"/>
      <name val="Arial"/>
      <family val="2"/>
      <charset val="1"/>
    </font>
    <font>
      <i/>
      <sz val="8"/>
      <color rgb="FF808080"/>
      <name val="Arial"/>
      <family val="2"/>
      <charset val="1"/>
    </font>
    <font>
      <b/>
      <i/>
      <sz val="8"/>
      <color rgb="FF707070"/>
      <name val="Arial"/>
      <family val="2"/>
      <charset val="1"/>
    </font>
    <font>
      <b/>
      <sz val="8"/>
      <color rgb="FF1F4E79"/>
      <name val="Arial"/>
      <family val="2"/>
      <charset val="1"/>
    </font>
    <font>
      <b/>
      <sz val="8"/>
      <color rgb="FFFFFFFF"/>
      <name val="Arial"/>
      <family val="2"/>
      <charset val="1"/>
    </font>
    <font>
      <sz val="9"/>
      <color rgb="FF1F2937"/>
      <name val="Arial"/>
      <family val="2"/>
      <charset val="1"/>
    </font>
    <font>
      <b/>
      <sz val="8"/>
      <color rgb="FF4B5563"/>
      <name val="Arial"/>
      <family val="2"/>
      <charset val="1"/>
    </font>
    <font>
      <sz val="8"/>
      <color rgb="FF1F2937"/>
      <name val="Arial"/>
      <family val="2"/>
      <charset val="1"/>
    </font>
    <font>
      <b/>
      <sz val="18"/>
      <color rgb="FFFFFFFF"/>
      <name val="Arial"/>
      <family val="2"/>
      <charset val="1"/>
    </font>
    <font>
      <i/>
      <sz val="9"/>
      <color rgb="FFA8A8C0"/>
      <name val="Arial"/>
      <family val="2"/>
      <charset val="1"/>
    </font>
    <font>
      <b/>
      <sz val="11"/>
      <color rgb="FFF5F5F7"/>
      <name val="Arial"/>
      <family val="2"/>
      <charset val="1"/>
    </font>
    <font>
      <sz val="9"/>
      <color rgb="FF0B0B1A"/>
      <name val="Arial"/>
      <family val="2"/>
      <charset val="1"/>
    </font>
    <font>
      <b/>
      <sz val="10"/>
      <color rgb="FF41EFF9"/>
      <name val="Arial"/>
      <family val="2"/>
      <charset val="1"/>
    </font>
    <font>
      <b/>
      <sz val="10"/>
      <color rgb="FFF5F5F7"/>
      <name val="Arial"/>
      <family val="2"/>
      <charset val="1"/>
    </font>
    <font>
      <b/>
      <sz val="10"/>
      <color rgb="FFEC1977"/>
      <name val="Arial"/>
      <family val="2"/>
      <charset val="1"/>
    </font>
    <font>
      <b/>
      <sz val="10"/>
      <color rgb="FF0E4EF5"/>
      <name val="Arial"/>
      <family val="2"/>
      <charset val="1"/>
    </font>
    <font>
      <i/>
      <sz val="8"/>
      <color rgb="FFA8A8C0"/>
      <name val="Arial"/>
      <family val="2"/>
      <charset val="1"/>
    </font>
    <font>
      <i/>
      <sz val="8"/>
      <color rgb="FF0B0B1A"/>
      <name val="Arial"/>
      <family val="2"/>
      <charset val="1"/>
    </font>
    <font>
      <b/>
      <sz val="8"/>
      <color rgb="FF41EFF9"/>
      <name val="Arial"/>
      <family val="2"/>
      <charset val="1"/>
    </font>
    <font>
      <sz val="9"/>
      <color rgb="FFE8E8F0"/>
      <name val="Arial"/>
      <family val="2"/>
      <charset val="1"/>
    </font>
    <font>
      <sz val="9"/>
      <color rgb="FFFFFFFF"/>
      <name val="Arial"/>
      <family val="2"/>
      <charset val="1"/>
    </font>
    <font>
      <sz val="9"/>
      <color rgb="FF555577"/>
      <name val="Arial"/>
      <family val="2"/>
      <charset val="1"/>
    </font>
    <font>
      <sz val="9"/>
      <color rgb="FF22C55E"/>
      <name val="Arial"/>
      <family val="2"/>
      <charset val="1"/>
    </font>
    <font>
      <b/>
      <sz val="14"/>
      <color rgb="FFFFFFFF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11"/>
      <name val="Calibri"/>
      <family val="2"/>
      <charset val="1"/>
    </font>
    <font>
      <i/>
      <sz val="10"/>
      <name val="Calibri"/>
      <family val="2"/>
      <charset val="1"/>
    </font>
    <font>
      <b/>
      <sz val="11"/>
      <color rgb="FF0000FF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0000FF"/>
      <name val="Calibri"/>
      <family val="2"/>
      <charset val="1"/>
    </font>
    <font>
      <sz val="10"/>
      <name val="Arial"/>
      <family val="2"/>
    </font>
    <font>
      <b/>
      <sz val="10"/>
      <name val="Arial"/>
      <family val="2"/>
      <charset val="1"/>
    </font>
    <font>
      <b/>
      <sz val="14"/>
      <color rgb="FF0E4EF5"/>
      <name val="Arial"/>
      <family val="2"/>
      <charset val="1"/>
    </font>
    <font>
      <sz val="10"/>
      <color rgb="FF6B7280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1"/>
      <color rgb="FF185FA5"/>
      <name val="Arial"/>
      <family val="2"/>
      <charset val="1"/>
    </font>
    <font>
      <sz val="10"/>
      <name val="Arial"/>
      <family val="2"/>
      <charset val="1"/>
    </font>
    <font>
      <sz val="10"/>
      <color rgb="FF534AB7"/>
      <name val="Arial"/>
      <family val="2"/>
      <charset val="1"/>
    </font>
    <font>
      <i/>
      <sz val="10"/>
      <color rgb="FF6B7280"/>
      <name val="Arial"/>
      <family val="2"/>
      <charset val="1"/>
    </font>
    <font>
      <sz val="10"/>
      <color rgb="FF3B6D11"/>
      <name val="Arial"/>
      <family val="2"/>
      <charset val="1"/>
    </font>
    <font>
      <sz val="10"/>
      <color rgb="FF854F0B"/>
      <name val="Arial"/>
      <family val="2"/>
      <charset val="1"/>
    </font>
    <font>
      <sz val="10"/>
      <color rgb="FF444441"/>
      <name val="Arial"/>
      <family val="2"/>
      <charset val="1"/>
    </font>
    <font>
      <b/>
      <sz val="12"/>
      <color rgb="FF0E4EF5"/>
      <name val="Arial"/>
      <family val="2"/>
      <charset val="1"/>
    </font>
    <font>
      <b/>
      <sz val="10"/>
      <color rgb="FF3B6D11"/>
      <name val="Arial"/>
      <family val="2"/>
      <charset val="1"/>
    </font>
    <font>
      <b/>
      <sz val="10"/>
      <color rgb="FF185FA5"/>
      <name val="Arial"/>
      <family val="2"/>
      <charset val="1"/>
    </font>
    <font>
      <b/>
      <sz val="10"/>
      <color rgb="FF854F0B"/>
      <name val="Arial"/>
      <family val="2"/>
      <charset val="1"/>
    </font>
    <font>
      <b/>
      <sz val="12"/>
      <color rgb="FF16A34A"/>
      <name val="Arial"/>
      <family val="2"/>
      <charset val="1"/>
    </font>
    <font>
      <b/>
      <sz val="14"/>
      <color rgb="FF0E4EF5"/>
      <name val="Arial"/>
      <family val="2"/>
    </font>
    <font>
      <sz val="10"/>
      <color rgb="FF6B7280"/>
      <name val="Arial"/>
      <family val="2"/>
    </font>
    <font>
      <b/>
      <sz val="11"/>
      <color rgb="FFFFFFFF"/>
      <name val="Arial"/>
      <family val="2"/>
    </font>
    <font>
      <b/>
      <sz val="10"/>
      <color rgb="FF374151"/>
      <name val="Arial"/>
      <family val="2"/>
    </font>
    <font>
      <sz val="10"/>
      <name val="Arial"/>
      <family val="2"/>
    </font>
    <font>
      <sz val="10"/>
      <color rgb="FF9CA3AF"/>
      <name val="Arial"/>
      <family val="2"/>
    </font>
    <font>
      <sz val="10"/>
      <color rgb="FF16A34A"/>
      <name val="Arial"/>
      <family val="2"/>
    </font>
    <font>
      <b/>
      <sz val="11"/>
      <color rgb="FF374151"/>
      <name val="Arial"/>
      <family val="2"/>
    </font>
  </fonts>
  <fills count="51">
    <fill>
      <patternFill patternType="none"/>
    </fill>
    <fill>
      <patternFill patternType="gray125"/>
    </fill>
    <fill>
      <patternFill patternType="solid">
        <fgColor rgb="FF1B2A4B"/>
        <bgColor rgb="FF1F2937"/>
      </patternFill>
    </fill>
    <fill>
      <patternFill patternType="solid">
        <fgColor rgb="FFF1F5F9"/>
        <bgColor rgb="FFEEF5FB"/>
      </patternFill>
    </fill>
    <fill>
      <patternFill patternType="solid">
        <fgColor rgb="FF2D4A7A"/>
        <bgColor rgb="FF1F4E78"/>
      </patternFill>
    </fill>
    <fill>
      <patternFill patternType="solid">
        <fgColor rgb="FFFFFFFF"/>
        <bgColor rgb="FFF8FBFC"/>
      </patternFill>
    </fill>
    <fill>
      <patternFill patternType="solid">
        <fgColor rgb="FFEDE9FE"/>
        <bgColor rgb="FFEEEDFE"/>
      </patternFill>
    </fill>
    <fill>
      <patternFill patternType="solid">
        <fgColor rgb="FFF8FBFC"/>
        <bgColor rgb="FFF0F7FF"/>
      </patternFill>
    </fill>
    <fill>
      <patternFill patternType="solid">
        <fgColor rgb="FFDBEAFE"/>
        <bgColor rgb="FFD9EAF7"/>
      </patternFill>
    </fill>
    <fill>
      <patternFill patternType="solid">
        <fgColor rgb="FFD1FAE5"/>
        <bgColor rgb="FFD9EAF7"/>
      </patternFill>
    </fill>
    <fill>
      <patternFill patternType="solid">
        <fgColor rgb="FFFCE4EC"/>
        <bgColor rgb="FFFDE8D0"/>
      </patternFill>
    </fill>
    <fill>
      <patternFill patternType="solid">
        <fgColor rgb="FFFDE8D0"/>
        <bgColor rgb="FFFAEEDA"/>
      </patternFill>
    </fill>
    <fill>
      <patternFill patternType="solid">
        <fgColor rgb="FFFEF3C7"/>
        <bgColor rgb="FFFFF2CC"/>
      </patternFill>
    </fill>
    <fill>
      <patternFill patternType="solid">
        <fgColor rgb="FF3F82E5"/>
        <bgColor rgb="FF3075B4"/>
      </patternFill>
    </fill>
    <fill>
      <patternFill patternType="solid">
        <fgColor rgb="FF1952D7"/>
        <bgColor rgb="FF0E4EF5"/>
      </patternFill>
    </fill>
    <fill>
      <patternFill patternType="solid">
        <fgColor rgb="FFF0F7FF"/>
        <bgColor rgb="FFEEF5FB"/>
      </patternFill>
    </fill>
    <fill>
      <patternFill patternType="darkGray">
        <fgColor rgb="FFF0F7FF"/>
        <bgColor rgb="FFEEF5FB"/>
      </patternFill>
    </fill>
    <fill>
      <patternFill patternType="solid">
        <fgColor rgb="FF1C67B0"/>
        <bgColor rgb="FF185FA5"/>
      </patternFill>
    </fill>
    <fill>
      <patternFill patternType="darkGray">
        <fgColor rgb="FF1C67B0"/>
        <bgColor rgb="FF185FA5"/>
      </patternFill>
    </fill>
    <fill>
      <patternFill patternType="darkGray">
        <fgColor rgb="FFD93613"/>
        <bgColor rgb="FF8B4A0C"/>
      </patternFill>
    </fill>
    <fill>
      <patternFill patternType="solid">
        <fgColor rgb="FF1C3A5E"/>
        <bgColor rgb="FF1B2A4B"/>
      </patternFill>
    </fill>
    <fill>
      <patternFill patternType="darkGray">
        <fgColor rgb="FFF4F4F7"/>
        <bgColor rgb="FFF1F5F9"/>
      </patternFill>
    </fill>
    <fill>
      <patternFill patternType="solid">
        <fgColor rgb="FFFFFBEB"/>
        <bgColor rgb="FFF8FBFC"/>
      </patternFill>
    </fill>
    <fill>
      <patternFill patternType="solid">
        <fgColor rgb="FFD97907"/>
        <bgColor rgb="FFD93613"/>
      </patternFill>
    </fill>
    <fill>
      <patternFill patternType="mediumGray">
        <fgColor rgb="FFF8FBFC"/>
        <bgColor rgb="FFF0F7FF"/>
      </patternFill>
    </fill>
    <fill>
      <patternFill patternType="solid">
        <fgColor rgb="FF1F2937"/>
        <bgColor rgb="FF1B2A4B"/>
      </patternFill>
    </fill>
    <fill>
      <patternFill patternType="solid">
        <fgColor rgb="FFC0C4BA"/>
        <bgColor rgb="FFD0D0D0"/>
      </patternFill>
    </fill>
    <fill>
      <patternFill patternType="mediumGray">
        <fgColor rgb="FFF1F5F9"/>
        <bgColor rgb="FFF4F4F7"/>
      </patternFill>
    </fill>
    <fill>
      <patternFill patternType="solid">
        <fgColor rgb="FFD9D9D9"/>
        <bgColor rgb="FFD1D5DD"/>
      </patternFill>
    </fill>
    <fill>
      <patternFill patternType="solid">
        <fgColor rgb="FFD9EAF7"/>
        <bgColor rgb="FFDBEAFE"/>
      </patternFill>
    </fill>
    <fill>
      <patternFill patternType="solid">
        <fgColor rgb="FFD1D5DD"/>
        <bgColor rgb="FFD9D9D9"/>
      </patternFill>
    </fill>
    <fill>
      <patternFill patternType="solid">
        <fgColor rgb="FF3075B4"/>
        <bgColor rgb="FF1C67B0"/>
      </patternFill>
    </fill>
    <fill>
      <patternFill patternType="darkGray">
        <fgColor rgb="FFF1F5F9"/>
        <bgColor rgb="FFEEF5FB"/>
      </patternFill>
    </fill>
    <fill>
      <patternFill patternType="solid">
        <fgColor rgb="FFE7E9F0"/>
        <bgColor rgb="FFE5E7EB"/>
      </patternFill>
    </fill>
    <fill>
      <patternFill patternType="solid">
        <fgColor rgb="FF0B0B1A"/>
        <bgColor rgb="FF12122A"/>
      </patternFill>
    </fill>
    <fill>
      <patternFill patternType="solid">
        <fgColor rgb="FF12122A"/>
        <bgColor rgb="FF111428"/>
      </patternFill>
    </fill>
    <fill>
      <patternFill patternType="solid">
        <fgColor rgb="FF1A1A3A"/>
        <bgColor rgb="FF1E1E3B"/>
      </patternFill>
    </fill>
    <fill>
      <patternFill patternType="solid">
        <fgColor rgb="FF1E1E3B"/>
        <bgColor rgb="FF1A1A3A"/>
      </patternFill>
    </fill>
    <fill>
      <patternFill patternType="mediumGray">
        <fgColor rgb="FF12122A"/>
        <bgColor rgb="FF111428"/>
      </patternFill>
    </fill>
    <fill>
      <patternFill patternType="solid">
        <fgColor rgb="FF1F4E78"/>
        <bgColor rgb="FF2D4A7A"/>
      </patternFill>
    </fill>
    <fill>
      <patternFill patternType="solid">
        <fgColor rgb="FFD9EAF7"/>
        <bgColor rgb="FFDDEBF7"/>
      </patternFill>
    </fill>
    <fill>
      <patternFill patternType="solid">
        <fgColor rgb="FFEEF5FB"/>
        <bgColor rgb="FFF1F5F9"/>
      </patternFill>
    </fill>
    <fill>
      <patternFill patternType="solid">
        <fgColor rgb="FFFFF2CC"/>
        <bgColor rgb="FFFEF3C7"/>
      </patternFill>
    </fill>
    <fill>
      <patternFill patternType="darkGray">
        <fgColor rgb="FF3F82E5"/>
        <bgColor rgb="FF3075B4"/>
      </patternFill>
    </fill>
    <fill>
      <patternFill patternType="solid">
        <fgColor rgb="FFDDEBF7"/>
        <bgColor rgb="FFD9EAF7"/>
      </patternFill>
    </fill>
    <fill>
      <patternFill patternType="solid">
        <fgColor rgb="FF0E4EF5"/>
        <bgColor rgb="FF1952D7"/>
      </patternFill>
    </fill>
    <fill>
      <patternFill patternType="solid">
        <fgColor rgb="FFE6F1FB"/>
        <bgColor rgb="FFEEF5FB"/>
      </patternFill>
    </fill>
    <fill>
      <patternFill patternType="solid">
        <fgColor rgb="FFEEEDFE"/>
        <bgColor rgb="FFEDE9FE"/>
      </patternFill>
    </fill>
    <fill>
      <patternFill patternType="solid">
        <fgColor rgb="FFEAF3DE"/>
        <bgColor rgb="FFF1EFE8"/>
      </patternFill>
    </fill>
    <fill>
      <patternFill patternType="solid">
        <fgColor rgb="FFFAEEDA"/>
        <bgColor rgb="FFFDE8D0"/>
      </patternFill>
    </fill>
    <fill>
      <patternFill patternType="solid">
        <fgColor rgb="FFF1EFE8"/>
        <bgColor rgb="FFEAF3DE"/>
      </patternFill>
    </fill>
  </fills>
  <borders count="18">
    <border>
      <left/>
      <right/>
      <top/>
      <bottom/>
      <diagonal/>
    </border>
    <border>
      <left style="thin">
        <color rgb="FFE7E9F0"/>
      </left>
      <right style="thin">
        <color rgb="FFE7E9F0"/>
      </right>
      <top style="thin">
        <color rgb="FFE7E9F0"/>
      </top>
      <bottom style="thin">
        <color rgb="FFE7E9F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1D5DD"/>
      </left>
      <right style="thin">
        <color rgb="FFD1D5DD"/>
      </right>
      <top style="thin">
        <color rgb="FFD1D5DD"/>
      </top>
      <bottom style="thin">
        <color rgb="FFD1D5DD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1B2A4B"/>
      </bottom>
      <diagonal/>
    </border>
    <border>
      <left/>
      <right/>
      <top/>
      <bottom style="thin">
        <color rgb="FF1E1E3B"/>
      </bottom>
      <diagonal/>
    </border>
    <border>
      <left/>
      <right/>
      <top/>
      <bottom style="medium">
        <color rgb="FF1F4E78"/>
      </bottom>
      <diagonal/>
    </border>
    <border>
      <left/>
      <right/>
      <top style="medium">
        <color rgb="FF1F4E78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/>
      <bottom style="thin">
        <color rgb="FFE5E7EB"/>
      </bottom>
      <diagonal/>
    </border>
    <border>
      <left/>
      <right style="thin">
        <color rgb="FFFDE68A"/>
      </right>
      <top style="thin">
        <color rgb="FFFDE68A"/>
      </top>
      <bottom style="thin">
        <color rgb="FFFDE68A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7" fillId="0" borderId="0" xfId="0" applyFont="1"/>
    <xf numFmtId="0" fontId="6" fillId="6" borderId="0" xfId="0" applyFont="1" applyFill="1" applyAlignment="1">
      <alignment horizontal="left" vertical="center"/>
    </xf>
    <xf numFmtId="0" fontId="8" fillId="0" borderId="0" xfId="0" applyFont="1"/>
    <xf numFmtId="0" fontId="6" fillId="8" borderId="0" xfId="0" applyFont="1" applyFill="1" applyAlignment="1">
      <alignment horizontal="left" vertical="center"/>
    </xf>
    <xf numFmtId="0" fontId="6" fillId="12" borderId="0" xfId="0" applyFont="1" applyFill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/>
    </xf>
    <xf numFmtId="0" fontId="0" fillId="7" borderId="0" xfId="0" applyFill="1"/>
    <xf numFmtId="0" fontId="9" fillId="8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15" borderId="0" xfId="0" applyFont="1" applyFill="1" applyAlignment="1">
      <alignment horizontal="center" vertical="center" wrapText="1"/>
    </xf>
    <xf numFmtId="0" fontId="11" fillId="16" borderId="0" xfId="0" applyFont="1" applyFill="1" applyAlignment="1">
      <alignment horizontal="center" vertical="center" wrapText="1"/>
    </xf>
    <xf numFmtId="0" fontId="5" fillId="16" borderId="0" xfId="0" applyFont="1" applyFill="1" applyAlignment="1">
      <alignment horizontal="center" vertical="center"/>
    </xf>
    <xf numFmtId="0" fontId="12" fillId="16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13" fillId="4" borderId="2" xfId="0" applyFont="1" applyFill="1" applyBorder="1" applyAlignment="1">
      <alignment horizontal="left" vertical="center"/>
    </xf>
    <xf numFmtId="0" fontId="13" fillId="17" borderId="2" xfId="0" applyFont="1" applyFill="1" applyBorder="1" applyAlignment="1">
      <alignment horizontal="center" vertical="center"/>
    </xf>
    <xf numFmtId="0" fontId="13" fillId="18" borderId="2" xfId="0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19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left" vertical="center" wrapText="1"/>
    </xf>
    <xf numFmtId="0" fontId="14" fillId="5" borderId="3" xfId="0" applyFont="1" applyFill="1" applyBorder="1" applyAlignment="1">
      <alignment horizontal="left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 wrapText="1"/>
    </xf>
    <xf numFmtId="0" fontId="17" fillId="21" borderId="3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left" vertical="center" wrapText="1"/>
    </xf>
    <xf numFmtId="0" fontId="14" fillId="7" borderId="3" xfId="0" applyFont="1" applyFill="1" applyBorder="1" applyAlignment="1">
      <alignment horizontal="left" vertical="center" wrapText="1"/>
    </xf>
    <xf numFmtId="0" fontId="18" fillId="7" borderId="3" xfId="0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 wrapText="1"/>
    </xf>
    <xf numFmtId="0" fontId="19" fillId="22" borderId="3" xfId="0" applyFont="1" applyFill="1" applyBorder="1" applyAlignment="1">
      <alignment horizontal="left" vertical="center" wrapText="1"/>
    </xf>
    <xf numFmtId="0" fontId="18" fillId="5" borderId="3" xfId="0" applyFont="1" applyFill="1" applyBorder="1" applyAlignment="1">
      <alignment horizontal="center" vertical="center" wrapText="1"/>
    </xf>
    <xf numFmtId="0" fontId="16" fillId="7" borderId="3" xfId="0" applyFont="1" applyFill="1" applyBorder="1" applyAlignment="1">
      <alignment horizontal="center" vertical="center" wrapText="1"/>
    </xf>
    <xf numFmtId="0" fontId="20" fillId="22" borderId="3" xfId="0" applyFont="1" applyFill="1" applyBorder="1" applyAlignment="1">
      <alignment horizontal="center" vertical="center" wrapText="1"/>
    </xf>
    <xf numFmtId="0" fontId="21" fillId="21" borderId="3" xfId="0" applyFont="1" applyFill="1" applyBorder="1" applyAlignment="1">
      <alignment horizontal="center" vertical="center" wrapText="1"/>
    </xf>
    <xf numFmtId="0" fontId="23" fillId="21" borderId="3" xfId="0" applyFont="1" applyFill="1" applyBorder="1" applyAlignment="1">
      <alignment horizontal="left" vertical="center" wrapText="1"/>
    </xf>
    <xf numFmtId="0" fontId="21" fillId="21" borderId="3" xfId="0" applyFont="1" applyFill="1" applyBorder="1" applyAlignment="1">
      <alignment horizontal="left" vertical="center" wrapText="1"/>
    </xf>
    <xf numFmtId="0" fontId="24" fillId="21" borderId="3" xfId="0" applyFont="1" applyFill="1" applyBorder="1" applyAlignment="1">
      <alignment horizontal="left" vertical="center" wrapText="1"/>
    </xf>
    <xf numFmtId="0" fontId="13" fillId="23" borderId="2" xfId="0" applyFont="1" applyFill="1" applyBorder="1" applyAlignment="1">
      <alignment horizontal="center" vertical="center"/>
    </xf>
    <xf numFmtId="0" fontId="26" fillId="22" borderId="4" xfId="0" applyFont="1" applyFill="1" applyBorder="1" applyAlignment="1">
      <alignment horizontal="left" vertical="center" wrapText="1"/>
    </xf>
    <xf numFmtId="0" fontId="26" fillId="12" borderId="4" xfId="0" applyFont="1" applyFill="1" applyBorder="1" applyAlignment="1">
      <alignment horizontal="left" vertical="center" wrapText="1"/>
    </xf>
    <xf numFmtId="0" fontId="3" fillId="25" borderId="5" xfId="0" applyFont="1" applyFill="1" applyBorder="1" applyAlignment="1">
      <alignment horizontal="left" vertical="center" wrapText="1"/>
    </xf>
    <xf numFmtId="0" fontId="3" fillId="25" borderId="5" xfId="0" applyFont="1" applyFill="1" applyBorder="1" applyAlignment="1">
      <alignment horizontal="center" vertical="center" wrapText="1"/>
    </xf>
    <xf numFmtId="0" fontId="28" fillId="26" borderId="5" xfId="0" applyFont="1" applyFill="1" applyBorder="1" applyAlignment="1">
      <alignment horizontal="center" vertical="center" wrapText="1"/>
    </xf>
    <xf numFmtId="0" fontId="7" fillId="27" borderId="5" xfId="0" applyFont="1" applyFill="1" applyBorder="1" applyAlignment="1">
      <alignment horizontal="center" vertical="center" wrapText="1"/>
    </xf>
    <xf numFmtId="0" fontId="29" fillId="28" borderId="5" xfId="0" applyFont="1" applyFill="1" applyBorder="1" applyAlignment="1">
      <alignment horizontal="center" vertical="center" wrapText="1"/>
    </xf>
    <xf numFmtId="0" fontId="30" fillId="29" borderId="5" xfId="0" applyFont="1" applyFill="1" applyBorder="1" applyAlignment="1">
      <alignment horizontal="center" vertical="center" wrapText="1"/>
    </xf>
    <xf numFmtId="0" fontId="30" fillId="30" borderId="5" xfId="0" applyFont="1" applyFill="1" applyBorder="1" applyAlignment="1">
      <alignment horizontal="center" vertical="center" wrapText="1"/>
    </xf>
    <xf numFmtId="0" fontId="31" fillId="31" borderId="5" xfId="0" applyFont="1" applyFill="1" applyBorder="1" applyAlignment="1">
      <alignment horizontal="center" vertical="center" wrapText="1"/>
    </xf>
    <xf numFmtId="0" fontId="32" fillId="5" borderId="5" xfId="0" applyFont="1" applyFill="1" applyBorder="1" applyAlignment="1">
      <alignment horizontal="left" vertical="center" wrapText="1"/>
    </xf>
    <xf numFmtId="0" fontId="33" fillId="32" borderId="5" xfId="0" applyFont="1" applyFill="1" applyBorder="1" applyAlignment="1">
      <alignment horizontal="center" vertical="center" wrapText="1"/>
    </xf>
    <xf numFmtId="0" fontId="28" fillId="33" borderId="5" xfId="0" applyFont="1" applyFill="1" applyBorder="1" applyAlignment="1">
      <alignment horizontal="center" vertical="center" wrapText="1"/>
    </xf>
    <xf numFmtId="0" fontId="34" fillId="5" borderId="5" xfId="0" applyFont="1" applyFill="1" applyBorder="1" applyAlignment="1">
      <alignment horizontal="center" vertical="center" wrapText="1"/>
    </xf>
    <xf numFmtId="0" fontId="32" fillId="7" borderId="5" xfId="0" applyFont="1" applyFill="1" applyBorder="1" applyAlignment="1">
      <alignment horizontal="left" vertical="center" wrapText="1"/>
    </xf>
    <xf numFmtId="0" fontId="34" fillId="7" borderId="5" xfId="0" applyFont="1" applyFill="1" applyBorder="1" applyAlignment="1">
      <alignment horizontal="center" vertical="center" wrapText="1"/>
    </xf>
    <xf numFmtId="0" fontId="0" fillId="34" borderId="0" xfId="0" applyFill="1"/>
    <xf numFmtId="0" fontId="37" fillId="34" borderId="0" xfId="0" applyFont="1" applyFill="1" applyAlignment="1">
      <alignment horizontal="left" vertical="center" wrapText="1"/>
    </xf>
    <xf numFmtId="0" fontId="38" fillId="34" borderId="0" xfId="0" applyFont="1" applyFill="1" applyAlignment="1">
      <alignment horizontal="center" vertical="center" wrapText="1"/>
    </xf>
    <xf numFmtId="0" fontId="39" fillId="35" borderId="0" xfId="0" applyFont="1" applyFill="1" applyAlignment="1">
      <alignment horizontal="center" vertical="center" wrapText="1"/>
    </xf>
    <xf numFmtId="0" fontId="40" fillId="35" borderId="0" xfId="0" applyFont="1" applyFill="1" applyAlignment="1">
      <alignment horizontal="center" vertical="center" wrapText="1"/>
    </xf>
    <xf numFmtId="0" fontId="41" fillId="36" borderId="0" xfId="0" applyFont="1" applyFill="1" applyAlignment="1">
      <alignment horizontal="center" vertical="center" wrapText="1"/>
    </xf>
    <xf numFmtId="0" fontId="39" fillId="36" borderId="0" xfId="0" applyFont="1" applyFill="1" applyAlignment="1">
      <alignment horizontal="center" vertical="center" wrapText="1"/>
    </xf>
    <xf numFmtId="0" fontId="42" fillId="35" borderId="0" xfId="0" applyFont="1" applyFill="1" applyAlignment="1">
      <alignment horizontal="center" vertical="center" wrapText="1"/>
    </xf>
    <xf numFmtId="0" fontId="43" fillId="34" borderId="0" xfId="0" applyFont="1" applyFill="1" applyAlignment="1">
      <alignment horizontal="center" vertical="center"/>
    </xf>
    <xf numFmtId="0" fontId="44" fillId="34" borderId="0" xfId="0" applyFont="1" applyFill="1" applyAlignment="1">
      <alignment horizontal="center" vertical="center"/>
    </xf>
    <xf numFmtId="0" fontId="43" fillId="35" borderId="0" xfId="0" applyFont="1" applyFill="1" applyAlignment="1">
      <alignment horizontal="center" vertical="center"/>
    </xf>
    <xf numFmtId="0" fontId="43" fillId="36" borderId="0" xfId="0" applyFont="1" applyFill="1" applyAlignment="1">
      <alignment horizontal="center" vertical="center"/>
    </xf>
    <xf numFmtId="0" fontId="45" fillId="37" borderId="6" xfId="0" applyFont="1" applyFill="1" applyBorder="1" applyAlignment="1">
      <alignment horizontal="left" vertical="center" indent="1"/>
    </xf>
    <xf numFmtId="0" fontId="0" fillId="37" borderId="6" xfId="0" applyFill="1" applyBorder="1"/>
    <xf numFmtId="0" fontId="46" fillId="35" borderId="7" xfId="0" applyFont="1" applyFill="1" applyBorder="1" applyAlignment="1">
      <alignment horizontal="left" vertical="center" indent="2"/>
    </xf>
    <xf numFmtId="0" fontId="47" fillId="35" borderId="7" xfId="0" applyFont="1" applyFill="1" applyBorder="1" applyAlignment="1">
      <alignment horizontal="center" vertical="center" wrapText="1"/>
    </xf>
    <xf numFmtId="0" fontId="47" fillId="36" borderId="7" xfId="0" applyFont="1" applyFill="1" applyBorder="1" applyAlignment="1">
      <alignment horizontal="center" vertical="center" wrapText="1"/>
    </xf>
    <xf numFmtId="0" fontId="46" fillId="38" borderId="7" xfId="0" applyFont="1" applyFill="1" applyBorder="1" applyAlignment="1">
      <alignment horizontal="left" vertical="center" indent="2"/>
    </xf>
    <xf numFmtId="0" fontId="48" fillId="35" borderId="7" xfId="0" applyFont="1" applyFill="1" applyBorder="1" applyAlignment="1">
      <alignment horizontal="center" vertical="center" wrapText="1"/>
    </xf>
    <xf numFmtId="0" fontId="49" fillId="36" borderId="7" xfId="0" applyFont="1" applyFill="1" applyBorder="1" applyAlignment="1">
      <alignment horizontal="center" vertical="center" wrapText="1"/>
    </xf>
    <xf numFmtId="0" fontId="49" fillId="35" borderId="7" xfId="0" applyFont="1" applyFill="1" applyBorder="1" applyAlignment="1">
      <alignment horizontal="center" vertical="center" wrapText="1"/>
    </xf>
    <xf numFmtId="0" fontId="48" fillId="36" borderId="7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41" borderId="0" xfId="0" applyFill="1" applyAlignment="1">
      <alignment vertical="top" wrapText="1"/>
    </xf>
    <xf numFmtId="0" fontId="52" fillId="0" borderId="0" xfId="0" applyFont="1"/>
    <xf numFmtId="164" fontId="54" fillId="42" borderId="0" xfId="0" applyNumberFormat="1" applyFont="1" applyFill="1" applyAlignment="1">
      <alignment horizontal="center"/>
    </xf>
    <xf numFmtId="3" fontId="54" fillId="42" borderId="0" xfId="0" applyNumberFormat="1" applyFont="1" applyFill="1" applyAlignment="1">
      <alignment horizontal="center"/>
    </xf>
    <xf numFmtId="0" fontId="55" fillId="43" borderId="8" xfId="0" applyFont="1" applyFill="1" applyBorder="1" applyAlignment="1">
      <alignment horizontal="center" vertical="center" wrapText="1"/>
    </xf>
    <xf numFmtId="165" fontId="56" fillId="42" borderId="0" xfId="0" applyNumberFormat="1" applyFont="1" applyFill="1" applyAlignment="1">
      <alignment vertical="top" wrapText="1"/>
    </xf>
    <xf numFmtId="164" fontId="56" fillId="42" borderId="0" xfId="0" applyNumberFormat="1" applyFont="1" applyFill="1" applyAlignment="1">
      <alignment horizontal="center" vertical="top" wrapText="1"/>
    </xf>
    <xf numFmtId="165" fontId="0" fillId="41" borderId="0" xfId="0" applyNumberFormat="1" applyFill="1" applyAlignment="1">
      <alignment vertical="top" wrapText="1"/>
    </xf>
    <xf numFmtId="164" fontId="0" fillId="41" borderId="0" xfId="0" applyNumberFormat="1" applyFill="1" applyAlignment="1">
      <alignment vertical="top" wrapText="1"/>
    </xf>
    <xf numFmtId="165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0" fontId="52" fillId="40" borderId="9" xfId="0" applyFont="1" applyFill="1" applyBorder="1"/>
    <xf numFmtId="165" fontId="52" fillId="40" borderId="9" xfId="0" applyNumberFormat="1" applyFont="1" applyFill="1" applyBorder="1"/>
    <xf numFmtId="164" fontId="52" fillId="40" borderId="9" xfId="0" applyNumberFormat="1" applyFont="1" applyFill="1" applyBorder="1"/>
    <xf numFmtId="165" fontId="52" fillId="44" borderId="0" xfId="0" applyNumberFormat="1" applyFont="1" applyFill="1" applyAlignment="1">
      <alignment horizontal="right"/>
    </xf>
    <xf numFmtId="164" fontId="52" fillId="44" borderId="0" xfId="0" applyNumberFormat="1" applyFont="1" applyFill="1" applyAlignment="1">
      <alignment horizontal="right"/>
    </xf>
    <xf numFmtId="0" fontId="58" fillId="0" borderId="0" xfId="0" applyFont="1"/>
    <xf numFmtId="0" fontId="61" fillId="45" borderId="10" xfId="0" applyFont="1" applyFill="1" applyBorder="1" applyAlignment="1">
      <alignment horizontal="center" vertical="center" wrapText="1"/>
    </xf>
    <xf numFmtId="0" fontId="63" fillId="0" borderId="10" xfId="0" applyFont="1" applyBorder="1"/>
    <xf numFmtId="0" fontId="58" fillId="0" borderId="10" xfId="0" applyFont="1" applyBorder="1" applyAlignment="1">
      <alignment wrapText="1"/>
    </xf>
    <xf numFmtId="0" fontId="63" fillId="0" borderId="10" xfId="0" applyFont="1" applyBorder="1" applyAlignment="1">
      <alignment wrapText="1"/>
    </xf>
    <xf numFmtId="0" fontId="64" fillId="47" borderId="10" xfId="0" applyFont="1" applyFill="1" applyBorder="1" applyAlignment="1">
      <alignment horizontal="center"/>
    </xf>
    <xf numFmtId="0" fontId="65" fillId="0" borderId="10" xfId="0" applyFont="1" applyBorder="1" applyAlignment="1">
      <alignment wrapText="1"/>
    </xf>
    <xf numFmtId="0" fontId="66" fillId="48" borderId="10" xfId="0" applyFont="1" applyFill="1" applyBorder="1" applyAlignment="1">
      <alignment horizontal="center"/>
    </xf>
    <xf numFmtId="0" fontId="67" fillId="49" borderId="10" xfId="0" applyFont="1" applyFill="1" applyBorder="1" applyAlignment="1">
      <alignment horizontal="center"/>
    </xf>
    <xf numFmtId="0" fontId="68" fillId="50" borderId="10" xfId="0" applyFont="1" applyFill="1" applyBorder="1" applyAlignment="1">
      <alignment horizontal="center"/>
    </xf>
    <xf numFmtId="0" fontId="61" fillId="45" borderId="10" xfId="0" applyFont="1" applyFill="1" applyBorder="1" applyAlignment="1">
      <alignment horizontal="center" vertical="center"/>
    </xf>
    <xf numFmtId="0" fontId="66" fillId="48" borderId="10" xfId="0" applyFont="1" applyFill="1" applyBorder="1"/>
    <xf numFmtId="0" fontId="58" fillId="0" borderId="10" xfId="0" applyFont="1" applyBorder="1" applyAlignment="1">
      <alignment horizontal="center"/>
    </xf>
    <xf numFmtId="9" fontId="63" fillId="0" borderId="10" xfId="0" applyNumberFormat="1" applyFont="1" applyBorder="1" applyAlignment="1">
      <alignment horizontal="center"/>
    </xf>
    <xf numFmtId="0" fontId="64" fillId="47" borderId="10" xfId="0" applyFont="1" applyFill="1" applyBorder="1"/>
    <xf numFmtId="0" fontId="67" fillId="49" borderId="10" xfId="0" applyFont="1" applyFill="1" applyBorder="1"/>
    <xf numFmtId="0" fontId="68" fillId="50" borderId="10" xfId="0" applyFont="1" applyFill="1" applyBorder="1"/>
    <xf numFmtId="0" fontId="58" fillId="0" borderId="0" xfId="0" applyFont="1" applyAlignment="1">
      <alignment horizontal="center"/>
    </xf>
    <xf numFmtId="0" fontId="70" fillId="48" borderId="10" xfId="0" applyFont="1" applyFill="1" applyBorder="1" applyAlignment="1">
      <alignment horizontal="center"/>
    </xf>
    <xf numFmtId="0" fontId="71" fillId="46" borderId="10" xfId="0" applyFont="1" applyFill="1" applyBorder="1" applyAlignment="1">
      <alignment horizontal="center"/>
    </xf>
    <xf numFmtId="0" fontId="72" fillId="49" borderId="10" xfId="0" applyFont="1" applyFill="1" applyBorder="1" applyAlignment="1">
      <alignment horizontal="center"/>
    </xf>
    <xf numFmtId="0" fontId="74" fillId="0" borderId="0" xfId="0" applyFont="1"/>
    <xf numFmtId="0" fontId="75" fillId="0" borderId="0" xfId="0" applyFont="1"/>
    <xf numFmtId="0" fontId="76" fillId="45" borderId="0" xfId="0" applyFont="1" applyFill="1" applyAlignment="1">
      <alignment horizontal="center" vertical="center" wrapText="1"/>
    </xf>
    <xf numFmtId="0" fontId="77" fillId="21" borderId="11" xfId="0" applyFont="1" applyFill="1" applyBorder="1"/>
    <xf numFmtId="0" fontId="78" fillId="0" borderId="11" xfId="0" applyFont="1" applyBorder="1" applyAlignment="1">
      <alignment wrapText="1"/>
    </xf>
    <xf numFmtId="0" fontId="78" fillId="0" borderId="11" xfId="0" applyFont="1" applyBorder="1" applyAlignment="1">
      <alignment horizontal="center" vertical="center" wrapText="1"/>
    </xf>
    <xf numFmtId="0" fontId="75" fillId="0" borderId="11" xfId="0" applyFont="1" applyBorder="1" applyAlignment="1">
      <alignment wrapText="1"/>
    </xf>
    <xf numFmtId="0" fontId="79" fillId="0" borderId="11" xfId="0" applyFont="1" applyBorder="1" applyAlignment="1">
      <alignment horizontal="center" vertical="center" wrapText="1"/>
    </xf>
    <xf numFmtId="0" fontId="80" fillId="0" borderId="11" xfId="0" applyFont="1" applyBorder="1" applyAlignment="1">
      <alignment horizontal="center" vertical="center" wrapText="1"/>
    </xf>
    <xf numFmtId="0" fontId="81" fillId="0" borderId="0" xfId="0" applyFont="1"/>
    <xf numFmtId="0" fontId="57" fillId="0" borderId="11" xfId="0" applyFont="1" applyBorder="1" applyAlignment="1">
      <alignment horizontal="center" vertical="center" wrapText="1"/>
    </xf>
    <xf numFmtId="0" fontId="57" fillId="0" borderId="11" xfId="0" applyFont="1" applyBorder="1" applyAlignment="1">
      <alignment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3" fillId="20" borderId="5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13" fillId="20" borderId="0" xfId="0" applyFont="1" applyFill="1" applyAlignment="1">
      <alignment horizontal="left" vertical="center"/>
    </xf>
    <xf numFmtId="0" fontId="25" fillId="12" borderId="4" xfId="0" applyFont="1" applyFill="1" applyBorder="1" applyAlignment="1">
      <alignment horizontal="left" vertical="center" wrapText="1"/>
    </xf>
    <xf numFmtId="0" fontId="0" fillId="0" borderId="12" xfId="0" applyBorder="1"/>
    <xf numFmtId="0" fontId="27" fillId="24" borderId="0" xfId="0" applyFont="1" applyFill="1" applyAlignment="1">
      <alignment horizontal="center" vertical="center"/>
    </xf>
    <xf numFmtId="0" fontId="3" fillId="19" borderId="0" xfId="0" applyFont="1" applyFill="1" applyAlignment="1">
      <alignment horizontal="left" vertical="center"/>
    </xf>
    <xf numFmtId="0" fontId="13" fillId="23" borderId="2" xfId="0" applyFont="1" applyFill="1" applyBorder="1" applyAlignment="1">
      <alignment horizontal="left" vertical="center"/>
    </xf>
    <xf numFmtId="0" fontId="0" fillId="0" borderId="13" xfId="0" applyBorder="1"/>
    <xf numFmtId="0" fontId="25" fillId="22" borderId="4" xfId="0" applyFont="1" applyFill="1" applyBorder="1" applyAlignment="1">
      <alignment horizontal="left" vertical="center" wrapText="1"/>
    </xf>
    <xf numFmtId="0" fontId="22" fillId="21" borderId="0" xfId="0" applyFont="1" applyFill="1" applyAlignment="1">
      <alignment horizontal="left" vertical="center"/>
    </xf>
    <xf numFmtId="0" fontId="36" fillId="34" borderId="0" xfId="0" applyFont="1" applyFill="1" applyAlignment="1">
      <alignment horizontal="center" vertical="center"/>
    </xf>
    <xf numFmtId="0" fontId="35" fillId="34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51" fillId="39" borderId="0" xfId="0" applyFont="1" applyFill="1"/>
    <xf numFmtId="0" fontId="50" fillId="39" borderId="0" xfId="0" applyFont="1" applyFill="1"/>
    <xf numFmtId="0" fontId="53" fillId="0" borderId="0" xfId="0" applyFont="1"/>
    <xf numFmtId="0" fontId="52" fillId="0" borderId="0" xfId="0" applyFont="1"/>
    <xf numFmtId="0" fontId="59" fillId="0" borderId="0" xfId="0" applyFont="1"/>
    <xf numFmtId="0" fontId="62" fillId="46" borderId="10" xfId="0" applyFont="1" applyFill="1" applyBorder="1"/>
    <xf numFmtId="0" fontId="0" fillId="0" borderId="16" xfId="0" applyBorder="1"/>
    <xf numFmtId="0" fontId="0" fillId="0" borderId="17" xfId="0" applyBorder="1"/>
    <xf numFmtId="0" fontId="60" fillId="0" borderId="0" xfId="0" applyFont="1"/>
    <xf numFmtId="0" fontId="63" fillId="0" borderId="0" xfId="0" applyFont="1" applyAlignment="1">
      <alignment wrapText="1"/>
    </xf>
    <xf numFmtId="0" fontId="69" fillId="0" borderId="0" xfId="0" applyFont="1"/>
    <xf numFmtId="0" fontId="7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FBEB"/>
      <rgbColor rgb="FFEEEDFE"/>
      <rgbColor rgb="FF0000FF"/>
      <rgbColor rgb="FFFDE8D0"/>
      <rgbColor rgb="FFF4F4F7"/>
      <rgbColor rgb="FFDDEBF7"/>
      <rgbColor rgb="FF0B0B1A"/>
      <rgbColor rgb="FF1F4E78"/>
      <rgbColor rgb="FF12122A"/>
      <rgbColor rgb="FFF1EFE8"/>
      <rgbColor rgb="FF1B2A4B"/>
      <rgbColor rgb="FF185FA5"/>
      <rgbColor rgb="FFC0C4BA"/>
      <rgbColor rgb="FF6F737C"/>
      <rgbColor rgb="FFAEA5BE"/>
      <rgbColor rgb="FFD93613"/>
      <rgbColor rgb="FFFEF3C7"/>
      <rgbColor rgb="FFD9EAF7"/>
      <rgbColor rgb="FF1E1E3B"/>
      <rgbColor rgb="FFFCE4EC"/>
      <rgbColor rgb="FF1C67B0"/>
      <rgbColor rgb="FFD1D5DD"/>
      <rgbColor rgb="FF1A1A3A"/>
      <rgbColor rgb="FFF1F5F9"/>
      <rgbColor rgb="FFFAEEDA"/>
      <rgbColor rgb="FFEEF5FB"/>
      <rgbColor rgb="FFF0F7FF"/>
      <rgbColor rgb="FFF8FBFC"/>
      <rgbColor rgb="FF3075B4"/>
      <rgbColor rgb="FF0E4EF5"/>
      <rgbColor rgb="FFEDE9FE"/>
      <rgbColor rgb="FFE6F1FB"/>
      <rgbColor rgb="FFD1FAE5"/>
      <rgbColor rgb="FFFFF2CC"/>
      <rgbColor rgb="FF82D8E3"/>
      <rgbColor rgb="FFD9D9D9"/>
      <rgbColor rgb="FFD0D0D0"/>
      <rgbColor rgb="FFFDE68A"/>
      <rgbColor rgb="FF3F82E5"/>
      <rgbColor rgb="FFDBEAFE"/>
      <rgbColor rgb="FFE5E7EB"/>
      <rgbColor rgb="FFEAF3DE"/>
      <rgbColor rgb="FFE7E9F0"/>
      <rgbColor rgb="FFD97907"/>
      <rgbColor rgb="FF535286"/>
      <rgbColor rgb="FF99A3AF"/>
      <rgbColor rgb="FF1C3A5E"/>
      <rgbColor rgb="FF17AE4E"/>
      <rgbColor rgb="FF111428"/>
      <rgbColor rgb="FF384A34"/>
      <rgbColor rgb="FF8B4A0C"/>
      <rgbColor rgb="FF1952D7"/>
      <rgbColor rgb="FF2D4A7A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Annual Card Fee Savings per Location (Illustrative)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'Card Fee Model'!$I$13</c:f>
              <c:strCache>
                <c:ptCount val="1"/>
                <c:pt idx="0">
                  <c:v>Annual Savings / Location ($)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  <a:prstDash val="solid"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4672A8"/>
              </a:solidFill>
              <a:ln w="126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CBF-D64D-83C9-FE83E6928372}"/>
              </c:ext>
            </c:extLst>
          </c:dPt>
          <c:dPt>
            <c:idx val="1"/>
            <c:invertIfNegative val="1"/>
            <c:bubble3D val="0"/>
            <c:spPr>
              <a:solidFill>
                <a:srgbClr val="AB4744"/>
              </a:solidFill>
              <a:ln w="126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CBF-D64D-83C9-FE83E6928372}"/>
              </c:ext>
            </c:extLst>
          </c:dPt>
          <c:dPt>
            <c:idx val="2"/>
            <c:invertIfNegative val="1"/>
            <c:bubble3D val="0"/>
            <c:spPr>
              <a:solidFill>
                <a:srgbClr val="8AA64F"/>
              </a:solidFill>
              <a:ln w="126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CBF-D64D-83C9-FE83E6928372}"/>
              </c:ext>
            </c:extLst>
          </c:dPt>
          <c:dPt>
            <c:idx val="3"/>
            <c:invertIfNegative val="1"/>
            <c:bubble3D val="0"/>
            <c:spPr>
              <a:solidFill>
                <a:srgbClr val="725990"/>
              </a:solidFill>
              <a:ln w="126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CBF-D64D-83C9-FE83E6928372}"/>
              </c:ext>
            </c:extLst>
          </c:dPt>
          <c:dPt>
            <c:idx val="4"/>
            <c:invertIfNegative val="1"/>
            <c:bubble3D val="0"/>
            <c:spPr>
              <a:solidFill>
                <a:srgbClr val="4299B0"/>
              </a:solidFill>
              <a:ln w="126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CBF-D64D-83C9-FE83E6928372}"/>
              </c:ext>
            </c:extLst>
          </c:dPt>
          <c:dPt>
            <c:idx val="5"/>
            <c:invertIfNegative val="1"/>
            <c:bubble3D val="0"/>
            <c:spPr>
              <a:solidFill>
                <a:srgbClr val="DC853E"/>
              </a:solidFill>
              <a:ln w="126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BCBF-D64D-83C9-FE83E6928372}"/>
              </c:ext>
            </c:extLst>
          </c:dPt>
          <c:dPt>
            <c:idx val="6"/>
            <c:invertIfNegative val="1"/>
            <c:bubble3D val="0"/>
            <c:spPr>
              <a:solidFill>
                <a:srgbClr val="93A9CE"/>
              </a:solidFill>
              <a:ln w="126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BCBF-D64D-83C9-FE83E6928372}"/>
              </c:ext>
            </c:extLst>
          </c:dPt>
          <c:dPt>
            <c:idx val="7"/>
            <c:invertIfNegative val="1"/>
            <c:bubble3D val="0"/>
            <c:spPr>
              <a:solidFill>
                <a:srgbClr val="D09493"/>
              </a:solidFill>
              <a:ln w="126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BCBF-D64D-83C9-FE83E6928372}"/>
              </c:ext>
            </c:extLst>
          </c:dPt>
          <c:dPt>
            <c:idx val="8"/>
            <c:invertIfNegative val="1"/>
            <c:bubble3D val="0"/>
            <c:spPr>
              <a:solidFill>
                <a:srgbClr val="B8CD97"/>
              </a:solidFill>
              <a:ln w="126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BCBF-D64D-83C9-FE83E6928372}"/>
              </c:ext>
            </c:extLst>
          </c:dPt>
          <c:dPt>
            <c:idx val="9"/>
            <c:invertIfNegative val="1"/>
            <c:bubble3D val="0"/>
            <c:spPr>
              <a:solidFill>
                <a:srgbClr val="A99BBD"/>
              </a:solidFill>
              <a:ln w="126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BCBF-D64D-83C9-FE83E6928372}"/>
              </c:ext>
            </c:extLst>
          </c:dPt>
          <c:dLbls>
            <c:dLbl>
              <c:idx val="0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BCBF-D64D-83C9-FE83E6928372}"/>
                </c:ext>
              </c:extLst>
            </c:dLbl>
            <c:dLbl>
              <c:idx val="1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BCBF-D64D-83C9-FE83E6928372}"/>
                </c:ext>
              </c:extLst>
            </c:dLbl>
            <c:dLbl>
              <c:idx val="2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BCBF-D64D-83C9-FE83E6928372}"/>
                </c:ext>
              </c:extLst>
            </c:dLbl>
            <c:dLbl>
              <c:idx val="3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BCBF-D64D-83C9-FE83E6928372}"/>
                </c:ext>
              </c:extLst>
            </c:dLbl>
            <c:dLbl>
              <c:idx val="4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BCBF-D64D-83C9-FE83E6928372}"/>
                </c:ext>
              </c:extLst>
            </c:dLbl>
            <c:dLbl>
              <c:idx val="5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BCBF-D64D-83C9-FE83E6928372}"/>
                </c:ext>
              </c:extLst>
            </c:dLbl>
            <c:dLbl>
              <c:idx val="6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BCBF-D64D-83C9-FE83E6928372}"/>
                </c:ext>
              </c:extLst>
            </c:dLbl>
            <c:dLbl>
              <c:idx val="7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BCBF-D64D-83C9-FE83E6928372}"/>
                </c:ext>
              </c:extLst>
            </c:dLbl>
            <c:dLbl>
              <c:idx val="8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BCBF-D64D-83C9-FE83E6928372}"/>
                </c:ext>
              </c:extLst>
            </c:dLbl>
            <c:dLbl>
              <c:idx val="9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BCBF-D64D-83C9-FE83E6928372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'Card Fee Model'!$A$14:$A$23</c:f>
              <c:strCache>
                <c:ptCount val="10"/>
                <c:pt idx="0">
                  <c:v>Food &amp; Drink</c:v>
                </c:pt>
                <c:pt idx="1">
                  <c:v>Retail</c:v>
                </c:pt>
                <c:pt idx="2">
                  <c:v>Health &amp; Fitness</c:v>
                </c:pt>
                <c:pt idx="3">
                  <c:v>Beauty &amp; Wellness</c:v>
                </c:pt>
                <c:pt idx="4">
                  <c:v>Entertainment &amp; Experiences</c:v>
                </c:pt>
                <c:pt idx="5">
                  <c:v>Events &amp; Pop-Ups</c:v>
                </c:pt>
                <c:pt idx="6">
                  <c:v>Professional &amp; Local Services</c:v>
                </c:pt>
                <c:pt idx="7">
                  <c:v>Franchise Unit</c:v>
                </c:pt>
                <c:pt idx="8">
                  <c:v>Large National Brand Location</c:v>
                </c:pt>
                <c:pt idx="9">
                  <c:v>Venue / Stadium / Major Event Site</c:v>
                </c:pt>
              </c:strCache>
            </c:strRef>
          </c:cat>
          <c:val>
            <c:numRef>
              <c:f>'Card Fee Model'!$I$14:$I$23</c:f>
              <c:numCache>
                <c:formatCode>\$#,##0_);[Red]"($"#,##0\)</c:formatCode>
                <c:ptCount val="10"/>
                <c:pt idx="0">
                  <c:v>23868</c:v>
                </c:pt>
                <c:pt idx="1">
                  <c:v>18720</c:v>
                </c:pt>
                <c:pt idx="2">
                  <c:v>13923</c:v>
                </c:pt>
                <c:pt idx="3">
                  <c:v>10530</c:v>
                </c:pt>
                <c:pt idx="4">
                  <c:v>31590</c:v>
                </c:pt>
                <c:pt idx="5">
                  <c:v>11115</c:v>
                </c:pt>
                <c:pt idx="6">
                  <c:v>12168</c:v>
                </c:pt>
                <c:pt idx="7">
                  <c:v>29835</c:v>
                </c:pt>
                <c:pt idx="8">
                  <c:v>163800</c:v>
                </c:pt>
                <c:pt idx="9">
                  <c:v>444600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CBF-D64D-83C9-FE83E6928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620178"/>
        <c:axId val="74845888"/>
      </c:barChart>
      <c:catAx>
        <c:axId val="52620178"/>
        <c:scaling>
          <c:orientation val="minMax"/>
        </c:scaling>
        <c:delete val="1"/>
        <c:axPos val="l"/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Annual Savings ($)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74845888"/>
        <c:crosses val="autoZero"/>
        <c:auto val="1"/>
        <c:lblAlgn val="ctr"/>
        <c:lblOffset val="100"/>
        <c:noMultiLvlLbl val="0"/>
      </c:catAx>
      <c:valAx>
        <c:axId val="74845888"/>
        <c:scaling>
          <c:orientation val="minMax"/>
        </c:scaling>
        <c:delete val="1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_);[Red]&quot;($&quot;#,##0\)" sourceLinked="1"/>
        <c:majorTickMark val="none"/>
        <c:minorTickMark val="none"/>
        <c:tickLblPos val="nextTo"/>
        <c:crossAx val="52620178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26</xdr:row>
      <xdr:rowOff>0</xdr:rowOff>
    </xdr:from>
    <xdr:to>
      <xdr:col>11</xdr:col>
      <xdr:colOff>246600</xdr:colOff>
      <xdr:row>39</xdr:row>
      <xdr:rowOff>60120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9"/>
  <sheetViews>
    <sheetView zoomScaleNormal="100" workbookViewId="0">
      <pane ySplit="3" topLeftCell="A4" activePane="bottomLeft" state="frozen"/>
      <selection pane="bottomLeft" sqref="A1:E1"/>
    </sheetView>
  </sheetViews>
  <sheetFormatPr baseColWidth="10" defaultColWidth="8.83203125" defaultRowHeight="15" x14ac:dyDescent="0.2"/>
  <cols>
    <col min="1" max="1" width="5" customWidth="1"/>
    <col min="2" max="2" width="30" customWidth="1"/>
    <col min="3" max="3" width="42" customWidth="1"/>
    <col min="4" max="4" width="62" customWidth="1"/>
    <col min="5" max="5" width="20" customWidth="1"/>
  </cols>
  <sheetData>
    <row r="1" spans="1:5" ht="30" customHeight="1" x14ac:dyDescent="0.2">
      <c r="A1" s="147" t="s">
        <v>218</v>
      </c>
      <c r="B1" s="146"/>
      <c r="C1" s="146"/>
      <c r="D1" s="146"/>
      <c r="E1" s="146"/>
    </row>
    <row r="2" spans="1:5" ht="18" customHeight="1" x14ac:dyDescent="0.2">
      <c r="A2" s="145" t="s">
        <v>219</v>
      </c>
      <c r="B2" s="146"/>
      <c r="C2" s="146"/>
      <c r="D2" s="146"/>
      <c r="E2" s="146"/>
    </row>
    <row r="3" spans="1:5" ht="21.75" customHeight="1" x14ac:dyDescent="0.2">
      <c r="A3" s="1" t="s">
        <v>220</v>
      </c>
      <c r="B3" s="2" t="s">
        <v>221</v>
      </c>
      <c r="C3" s="2" t="s">
        <v>222</v>
      </c>
      <c r="D3" s="2" t="s">
        <v>223</v>
      </c>
      <c r="E3" s="2" t="s">
        <v>224</v>
      </c>
    </row>
    <row r="4" spans="1:5" ht="30" customHeight="1" x14ac:dyDescent="0.2">
      <c r="A4" s="3">
        <v>1</v>
      </c>
      <c r="B4" s="4" t="s">
        <v>225</v>
      </c>
      <c r="C4" s="5" t="s">
        <v>226</v>
      </c>
      <c r="D4" s="5" t="s">
        <v>227</v>
      </c>
      <c r="E4" s="6" t="s">
        <v>228</v>
      </c>
    </row>
    <row r="5" spans="1:5" ht="30" customHeight="1" x14ac:dyDescent="0.2">
      <c r="A5" s="7">
        <v>2</v>
      </c>
      <c r="B5" s="8" t="s">
        <v>225</v>
      </c>
      <c r="C5" s="9" t="s">
        <v>229</v>
      </c>
      <c r="D5" s="9" t="s">
        <v>230</v>
      </c>
      <c r="E5" s="6" t="s">
        <v>228</v>
      </c>
    </row>
    <row r="6" spans="1:5" ht="30" customHeight="1" x14ac:dyDescent="0.2">
      <c r="A6" s="3">
        <v>3</v>
      </c>
      <c r="B6" s="4" t="s">
        <v>225</v>
      </c>
      <c r="C6" s="5" t="s">
        <v>231</v>
      </c>
      <c r="D6" s="5" t="s">
        <v>232</v>
      </c>
      <c r="E6" s="10" t="s">
        <v>233</v>
      </c>
    </row>
    <row r="7" spans="1:5" ht="30" customHeight="1" x14ac:dyDescent="0.2">
      <c r="A7" s="7">
        <v>4</v>
      </c>
      <c r="B7" s="8" t="s">
        <v>225</v>
      </c>
      <c r="C7" s="9" t="s">
        <v>234</v>
      </c>
      <c r="D7" s="9" t="s">
        <v>235</v>
      </c>
      <c r="E7" s="10" t="s">
        <v>233</v>
      </c>
    </row>
    <row r="8" spans="1:5" ht="30" customHeight="1" x14ac:dyDescent="0.2">
      <c r="A8" s="3">
        <v>5</v>
      </c>
      <c r="B8" s="4" t="s">
        <v>236</v>
      </c>
      <c r="C8" s="5" t="s">
        <v>237</v>
      </c>
      <c r="D8" s="5" t="s">
        <v>238</v>
      </c>
      <c r="E8" s="10" t="s">
        <v>233</v>
      </c>
    </row>
    <row r="9" spans="1:5" ht="30" customHeight="1" x14ac:dyDescent="0.2">
      <c r="A9" s="7">
        <v>6</v>
      </c>
      <c r="B9" s="8" t="s">
        <v>236</v>
      </c>
      <c r="C9" s="9" t="s">
        <v>239</v>
      </c>
      <c r="D9" s="9" t="s">
        <v>240</v>
      </c>
      <c r="E9" s="6" t="s">
        <v>228</v>
      </c>
    </row>
    <row r="10" spans="1:5" ht="30" customHeight="1" x14ac:dyDescent="0.2">
      <c r="A10" s="3">
        <v>7</v>
      </c>
      <c r="B10" s="4" t="s">
        <v>236</v>
      </c>
      <c r="C10" s="5" t="s">
        <v>241</v>
      </c>
      <c r="D10" s="5" t="s">
        <v>242</v>
      </c>
      <c r="E10" s="10" t="s">
        <v>233</v>
      </c>
    </row>
    <row r="11" spans="1:5" ht="30" customHeight="1" x14ac:dyDescent="0.2">
      <c r="A11" s="7">
        <v>8</v>
      </c>
      <c r="B11" s="8" t="s">
        <v>236</v>
      </c>
      <c r="C11" s="9" t="s">
        <v>243</v>
      </c>
      <c r="D11" s="9" t="s">
        <v>244</v>
      </c>
      <c r="E11" s="6" t="s">
        <v>228</v>
      </c>
    </row>
    <row r="12" spans="1:5" ht="30" customHeight="1" x14ac:dyDescent="0.2">
      <c r="A12" s="3">
        <v>9</v>
      </c>
      <c r="B12" s="4" t="s">
        <v>236</v>
      </c>
      <c r="C12" s="5" t="s">
        <v>245</v>
      </c>
      <c r="D12" s="5" t="s">
        <v>246</v>
      </c>
      <c r="E12" s="11" t="s">
        <v>247</v>
      </c>
    </row>
    <row r="13" spans="1:5" ht="30" customHeight="1" x14ac:dyDescent="0.2">
      <c r="A13" s="7">
        <v>10</v>
      </c>
      <c r="B13" s="8" t="s">
        <v>236</v>
      </c>
      <c r="C13" s="9" t="s">
        <v>248</v>
      </c>
      <c r="D13" s="9" t="s">
        <v>249</v>
      </c>
      <c r="E13" s="11" t="s">
        <v>247</v>
      </c>
    </row>
    <row r="14" spans="1:5" ht="30" customHeight="1" x14ac:dyDescent="0.2">
      <c r="A14" s="3">
        <v>11</v>
      </c>
      <c r="B14" s="4" t="s">
        <v>236</v>
      </c>
      <c r="C14" s="5" t="s">
        <v>250</v>
      </c>
      <c r="D14" s="5" t="s">
        <v>251</v>
      </c>
      <c r="E14" s="11" t="s">
        <v>247</v>
      </c>
    </row>
    <row r="15" spans="1:5" ht="30" customHeight="1" x14ac:dyDescent="0.2">
      <c r="A15" s="7">
        <v>12</v>
      </c>
      <c r="B15" s="8" t="s">
        <v>236</v>
      </c>
      <c r="C15" s="9" t="s">
        <v>252</v>
      </c>
      <c r="D15" s="9" t="s">
        <v>253</v>
      </c>
      <c r="E15" s="6" t="s">
        <v>228</v>
      </c>
    </row>
    <row r="16" spans="1:5" ht="30" customHeight="1" x14ac:dyDescent="0.2">
      <c r="A16" s="3">
        <v>13</v>
      </c>
      <c r="B16" s="4" t="s">
        <v>254</v>
      </c>
      <c r="C16" s="5" t="s">
        <v>255</v>
      </c>
      <c r="D16" s="5" t="s">
        <v>256</v>
      </c>
      <c r="E16" s="6" t="s">
        <v>228</v>
      </c>
    </row>
    <row r="17" spans="1:5" ht="30" customHeight="1" x14ac:dyDescent="0.2">
      <c r="A17" s="7">
        <v>14</v>
      </c>
      <c r="B17" s="8" t="s">
        <v>254</v>
      </c>
      <c r="C17" s="9" t="s">
        <v>257</v>
      </c>
      <c r="D17" s="9" t="s">
        <v>258</v>
      </c>
      <c r="E17" s="6" t="s">
        <v>228</v>
      </c>
    </row>
    <row r="18" spans="1:5" ht="30" customHeight="1" x14ac:dyDescent="0.2">
      <c r="A18" s="3">
        <v>15</v>
      </c>
      <c r="B18" s="4" t="s">
        <v>254</v>
      </c>
      <c r="C18" s="5" t="s">
        <v>259</v>
      </c>
      <c r="D18" s="5" t="s">
        <v>260</v>
      </c>
      <c r="E18" s="6" t="s">
        <v>228</v>
      </c>
    </row>
    <row r="19" spans="1:5" ht="30" customHeight="1" x14ac:dyDescent="0.2">
      <c r="A19" s="7">
        <v>16</v>
      </c>
      <c r="B19" s="8" t="s">
        <v>254</v>
      </c>
      <c r="C19" s="9" t="s">
        <v>261</v>
      </c>
      <c r="D19" s="9" t="s">
        <v>262</v>
      </c>
      <c r="E19" s="6" t="s">
        <v>228</v>
      </c>
    </row>
    <row r="20" spans="1:5" ht="30" customHeight="1" x14ac:dyDescent="0.2">
      <c r="A20" s="3">
        <v>17</v>
      </c>
      <c r="B20" s="4" t="s">
        <v>254</v>
      </c>
      <c r="C20" s="5" t="s">
        <v>263</v>
      </c>
      <c r="D20" s="5" t="s">
        <v>264</v>
      </c>
      <c r="E20" s="11" t="s">
        <v>247</v>
      </c>
    </row>
    <row r="21" spans="1:5" ht="30" customHeight="1" x14ac:dyDescent="0.2">
      <c r="A21" s="7">
        <v>18</v>
      </c>
      <c r="B21" s="8" t="s">
        <v>254</v>
      </c>
      <c r="C21" s="9" t="s">
        <v>265</v>
      </c>
      <c r="D21" s="9" t="s">
        <v>266</v>
      </c>
      <c r="E21" s="11" t="s">
        <v>247</v>
      </c>
    </row>
    <row r="22" spans="1:5" ht="30" customHeight="1" x14ac:dyDescent="0.2">
      <c r="A22" s="3">
        <v>19</v>
      </c>
      <c r="B22" s="4" t="s">
        <v>254</v>
      </c>
      <c r="C22" s="5" t="s">
        <v>267</v>
      </c>
      <c r="D22" s="5" t="s">
        <v>268</v>
      </c>
      <c r="E22" s="12" t="s">
        <v>269</v>
      </c>
    </row>
    <row r="23" spans="1:5" ht="30" customHeight="1" x14ac:dyDescent="0.2">
      <c r="A23" s="7">
        <v>20</v>
      </c>
      <c r="B23" s="8" t="s">
        <v>270</v>
      </c>
      <c r="C23" s="9" t="s">
        <v>271</v>
      </c>
      <c r="D23" s="9" t="s">
        <v>272</v>
      </c>
      <c r="E23" s="6" t="s">
        <v>228</v>
      </c>
    </row>
    <row r="24" spans="1:5" ht="30" customHeight="1" x14ac:dyDescent="0.2">
      <c r="A24" s="3">
        <v>21</v>
      </c>
      <c r="B24" s="4" t="s">
        <v>270</v>
      </c>
      <c r="C24" s="5" t="s">
        <v>273</v>
      </c>
      <c r="D24" s="5" t="s">
        <v>274</v>
      </c>
      <c r="E24" s="6" t="s">
        <v>228</v>
      </c>
    </row>
    <row r="25" spans="1:5" ht="30" customHeight="1" x14ac:dyDescent="0.2">
      <c r="A25" s="7">
        <v>22</v>
      </c>
      <c r="B25" s="8" t="s">
        <v>270</v>
      </c>
      <c r="C25" s="9" t="s">
        <v>275</v>
      </c>
      <c r="D25" s="9" t="s">
        <v>276</v>
      </c>
      <c r="E25" s="10" t="s">
        <v>233</v>
      </c>
    </row>
    <row r="26" spans="1:5" ht="30" customHeight="1" x14ac:dyDescent="0.2">
      <c r="A26" s="3">
        <v>23</v>
      </c>
      <c r="B26" s="4" t="s">
        <v>270</v>
      </c>
      <c r="C26" s="5" t="s">
        <v>277</v>
      </c>
      <c r="D26" s="5" t="s">
        <v>278</v>
      </c>
      <c r="E26" s="11" t="s">
        <v>247</v>
      </c>
    </row>
    <row r="27" spans="1:5" ht="30" customHeight="1" x14ac:dyDescent="0.2">
      <c r="A27" s="7">
        <v>24</v>
      </c>
      <c r="B27" s="8" t="s">
        <v>270</v>
      </c>
      <c r="C27" s="9" t="s">
        <v>279</v>
      </c>
      <c r="D27" s="9" t="s">
        <v>280</v>
      </c>
      <c r="E27" s="11" t="s">
        <v>247</v>
      </c>
    </row>
    <row r="28" spans="1:5" ht="30" customHeight="1" x14ac:dyDescent="0.2">
      <c r="A28" s="3">
        <v>25</v>
      </c>
      <c r="B28" s="4" t="s">
        <v>270</v>
      </c>
      <c r="C28" s="5" t="s">
        <v>281</v>
      </c>
      <c r="D28" s="5" t="s">
        <v>282</v>
      </c>
      <c r="E28" s="13" t="s">
        <v>283</v>
      </c>
    </row>
    <row r="29" spans="1:5" ht="30" customHeight="1" x14ac:dyDescent="0.2">
      <c r="A29" s="7">
        <v>26</v>
      </c>
      <c r="B29" s="8" t="s">
        <v>270</v>
      </c>
      <c r="C29" s="9" t="s">
        <v>284</v>
      </c>
      <c r="D29" s="9" t="s">
        <v>285</v>
      </c>
      <c r="E29" s="13" t="s">
        <v>283</v>
      </c>
    </row>
    <row r="30" spans="1:5" ht="30" customHeight="1" x14ac:dyDescent="0.2">
      <c r="A30" s="3">
        <v>27</v>
      </c>
      <c r="B30" s="4" t="s">
        <v>270</v>
      </c>
      <c r="C30" s="5" t="s">
        <v>286</v>
      </c>
      <c r="D30" s="5" t="s">
        <v>287</v>
      </c>
      <c r="E30" s="13" t="s">
        <v>283</v>
      </c>
    </row>
    <row r="31" spans="1:5" ht="30" customHeight="1" x14ac:dyDescent="0.2">
      <c r="A31" s="7">
        <v>28</v>
      </c>
      <c r="B31" s="8" t="s">
        <v>288</v>
      </c>
      <c r="C31" s="9" t="s">
        <v>289</v>
      </c>
      <c r="D31" s="9" t="s">
        <v>290</v>
      </c>
      <c r="E31" s="10" t="s">
        <v>233</v>
      </c>
    </row>
    <row r="32" spans="1:5" ht="30" customHeight="1" x14ac:dyDescent="0.2">
      <c r="A32" s="3">
        <v>29</v>
      </c>
      <c r="B32" s="4" t="s">
        <v>288</v>
      </c>
      <c r="C32" s="5" t="s">
        <v>291</v>
      </c>
      <c r="D32" s="5" t="s">
        <v>292</v>
      </c>
      <c r="E32" s="10" t="s">
        <v>233</v>
      </c>
    </row>
    <row r="33" spans="1:5" ht="30" customHeight="1" x14ac:dyDescent="0.2">
      <c r="A33" s="7">
        <v>30</v>
      </c>
      <c r="B33" s="8" t="s">
        <v>288</v>
      </c>
      <c r="C33" s="9" t="s">
        <v>293</v>
      </c>
      <c r="D33" s="9" t="s">
        <v>294</v>
      </c>
      <c r="E33" s="11" t="s">
        <v>247</v>
      </c>
    </row>
    <row r="34" spans="1:5" ht="30" customHeight="1" x14ac:dyDescent="0.2">
      <c r="A34" s="3">
        <v>31</v>
      </c>
      <c r="B34" s="4" t="s">
        <v>288</v>
      </c>
      <c r="C34" s="5" t="s">
        <v>295</v>
      </c>
      <c r="D34" s="5" t="s">
        <v>296</v>
      </c>
      <c r="E34" s="11" t="s">
        <v>247</v>
      </c>
    </row>
    <row r="35" spans="1:5" ht="30" customHeight="1" x14ac:dyDescent="0.2">
      <c r="A35" s="7">
        <v>32</v>
      </c>
      <c r="B35" s="8" t="s">
        <v>288</v>
      </c>
      <c r="C35" s="9" t="s">
        <v>297</v>
      </c>
      <c r="D35" s="9" t="s">
        <v>298</v>
      </c>
      <c r="E35" s="11" t="s">
        <v>247</v>
      </c>
    </row>
    <row r="36" spans="1:5" ht="30" customHeight="1" x14ac:dyDescent="0.2">
      <c r="A36" s="3">
        <v>33</v>
      </c>
      <c r="B36" s="4" t="s">
        <v>288</v>
      </c>
      <c r="C36" s="5" t="s">
        <v>299</v>
      </c>
      <c r="D36" s="5" t="s">
        <v>300</v>
      </c>
      <c r="E36" s="12" t="s">
        <v>269</v>
      </c>
    </row>
    <row r="37" spans="1:5" ht="30" customHeight="1" x14ac:dyDescent="0.2">
      <c r="A37" s="7">
        <v>34</v>
      </c>
      <c r="B37" s="8" t="s">
        <v>301</v>
      </c>
      <c r="C37" s="9" t="s">
        <v>302</v>
      </c>
      <c r="D37" s="9" t="s">
        <v>303</v>
      </c>
      <c r="E37" s="11" t="s">
        <v>247</v>
      </c>
    </row>
    <row r="38" spans="1:5" ht="30" customHeight="1" x14ac:dyDescent="0.2">
      <c r="A38" s="3">
        <v>35</v>
      </c>
      <c r="B38" s="4" t="s">
        <v>301</v>
      </c>
      <c r="C38" s="5" t="s">
        <v>304</v>
      </c>
      <c r="D38" s="5" t="s">
        <v>305</v>
      </c>
      <c r="E38" s="12" t="s">
        <v>269</v>
      </c>
    </row>
    <row r="39" spans="1:5" ht="30" customHeight="1" x14ac:dyDescent="0.2">
      <c r="A39" s="7">
        <v>36</v>
      </c>
      <c r="B39" s="8" t="s">
        <v>301</v>
      </c>
      <c r="C39" s="9" t="s">
        <v>306</v>
      </c>
      <c r="D39" s="9" t="s">
        <v>307</v>
      </c>
      <c r="E39" s="11" t="s">
        <v>247</v>
      </c>
    </row>
    <row r="40" spans="1:5" ht="30" customHeight="1" x14ac:dyDescent="0.2">
      <c r="A40" s="3">
        <v>37</v>
      </c>
      <c r="B40" s="4" t="s">
        <v>301</v>
      </c>
      <c r="C40" s="5" t="s">
        <v>308</v>
      </c>
      <c r="D40" s="5" t="s">
        <v>309</v>
      </c>
      <c r="E40" s="13" t="s">
        <v>283</v>
      </c>
    </row>
    <row r="41" spans="1:5" ht="30" customHeight="1" x14ac:dyDescent="0.2">
      <c r="A41" s="7">
        <v>38</v>
      </c>
      <c r="B41" s="8" t="s">
        <v>301</v>
      </c>
      <c r="C41" s="9" t="s">
        <v>310</v>
      </c>
      <c r="D41" s="9" t="s">
        <v>311</v>
      </c>
      <c r="E41" s="10" t="s">
        <v>233</v>
      </c>
    </row>
    <row r="42" spans="1:5" ht="30" customHeight="1" x14ac:dyDescent="0.2">
      <c r="A42" s="3">
        <v>39</v>
      </c>
      <c r="B42" s="4" t="s">
        <v>301</v>
      </c>
      <c r="C42" s="5" t="s">
        <v>312</v>
      </c>
      <c r="D42" s="5" t="s">
        <v>313</v>
      </c>
      <c r="E42" s="12" t="s">
        <v>269</v>
      </c>
    </row>
    <row r="43" spans="1:5" ht="30" customHeight="1" x14ac:dyDescent="0.2">
      <c r="A43" s="7">
        <v>40</v>
      </c>
      <c r="B43" s="8" t="s">
        <v>314</v>
      </c>
      <c r="C43" s="9" t="s">
        <v>315</v>
      </c>
      <c r="D43" s="9" t="s">
        <v>316</v>
      </c>
      <c r="E43" s="11" t="s">
        <v>247</v>
      </c>
    </row>
    <row r="44" spans="1:5" ht="30" customHeight="1" x14ac:dyDescent="0.2">
      <c r="A44" s="3">
        <v>41</v>
      </c>
      <c r="B44" s="4" t="s">
        <v>314</v>
      </c>
      <c r="C44" s="5" t="s">
        <v>317</v>
      </c>
      <c r="D44" s="5" t="s">
        <v>318</v>
      </c>
      <c r="E44" s="10" t="s">
        <v>233</v>
      </c>
    </row>
    <row r="45" spans="1:5" ht="30" customHeight="1" x14ac:dyDescent="0.2">
      <c r="A45" s="7">
        <v>42</v>
      </c>
      <c r="B45" s="8" t="s">
        <v>314</v>
      </c>
      <c r="C45" s="9" t="s">
        <v>319</v>
      </c>
      <c r="D45" s="9" t="s">
        <v>320</v>
      </c>
      <c r="E45" s="10" t="s">
        <v>233</v>
      </c>
    </row>
    <row r="46" spans="1:5" ht="30" customHeight="1" x14ac:dyDescent="0.2">
      <c r="A46" s="3">
        <v>43</v>
      </c>
      <c r="B46" s="4" t="s">
        <v>314</v>
      </c>
      <c r="C46" s="5" t="s">
        <v>321</v>
      </c>
      <c r="D46" s="5" t="s">
        <v>322</v>
      </c>
      <c r="E46" s="6" t="s">
        <v>228</v>
      </c>
    </row>
    <row r="47" spans="1:5" ht="30" customHeight="1" x14ac:dyDescent="0.2">
      <c r="A47" s="7">
        <v>44</v>
      </c>
      <c r="B47" s="8" t="s">
        <v>314</v>
      </c>
      <c r="C47" s="9" t="s">
        <v>323</v>
      </c>
      <c r="D47" s="9" t="s">
        <v>324</v>
      </c>
      <c r="E47" s="11" t="s">
        <v>247</v>
      </c>
    </row>
    <row r="48" spans="1:5" ht="30" customHeight="1" x14ac:dyDescent="0.2">
      <c r="A48" s="3">
        <v>45</v>
      </c>
      <c r="B48" s="4" t="s">
        <v>314</v>
      </c>
      <c r="C48" s="5" t="s">
        <v>325</v>
      </c>
      <c r="D48" s="5" t="s">
        <v>326</v>
      </c>
      <c r="E48" s="11" t="s">
        <v>247</v>
      </c>
    </row>
    <row r="49" spans="1:5" ht="30" customHeight="1" x14ac:dyDescent="0.2">
      <c r="A49" s="7">
        <v>46</v>
      </c>
      <c r="B49" s="8" t="s">
        <v>314</v>
      </c>
      <c r="C49" s="9" t="s">
        <v>327</v>
      </c>
      <c r="D49" s="9" t="s">
        <v>328</v>
      </c>
      <c r="E49" s="6" t="s">
        <v>228</v>
      </c>
    </row>
    <row r="50" spans="1:5" ht="30" customHeight="1" x14ac:dyDescent="0.2">
      <c r="A50" s="3">
        <v>47</v>
      </c>
      <c r="B50" s="4" t="s">
        <v>314</v>
      </c>
      <c r="C50" s="5" t="s">
        <v>329</v>
      </c>
      <c r="D50" s="5" t="s">
        <v>330</v>
      </c>
      <c r="E50" s="10" t="s">
        <v>233</v>
      </c>
    </row>
    <row r="51" spans="1:5" ht="30" customHeight="1" x14ac:dyDescent="0.2">
      <c r="A51" s="7">
        <v>48</v>
      </c>
      <c r="B51" s="8" t="s">
        <v>314</v>
      </c>
      <c r="C51" s="9" t="s">
        <v>331</v>
      </c>
      <c r="D51" s="9" t="s">
        <v>332</v>
      </c>
      <c r="E51" s="6" t="s">
        <v>228</v>
      </c>
    </row>
    <row r="52" spans="1:5" ht="30" customHeight="1" x14ac:dyDescent="0.2">
      <c r="A52" s="3">
        <v>49</v>
      </c>
      <c r="B52" s="4" t="s">
        <v>314</v>
      </c>
      <c r="C52" s="5" t="s">
        <v>333</v>
      </c>
      <c r="D52" s="5" t="s">
        <v>334</v>
      </c>
      <c r="E52" s="10" t="s">
        <v>233</v>
      </c>
    </row>
    <row r="53" spans="1:5" ht="30" customHeight="1" x14ac:dyDescent="0.2">
      <c r="A53" s="7">
        <v>50</v>
      </c>
      <c r="B53" s="8" t="s">
        <v>314</v>
      </c>
      <c r="C53" s="9" t="s">
        <v>335</v>
      </c>
      <c r="D53" s="9" t="s">
        <v>336</v>
      </c>
      <c r="E53" s="12" t="s">
        <v>269</v>
      </c>
    </row>
    <row r="54" spans="1:5" ht="30" customHeight="1" x14ac:dyDescent="0.2">
      <c r="A54" s="3">
        <v>51</v>
      </c>
      <c r="B54" s="4" t="s">
        <v>337</v>
      </c>
      <c r="C54" s="5" t="s">
        <v>338</v>
      </c>
      <c r="D54" s="5" t="s">
        <v>339</v>
      </c>
      <c r="E54" s="12" t="s">
        <v>269</v>
      </c>
    </row>
    <row r="55" spans="1:5" ht="30" customHeight="1" x14ac:dyDescent="0.2">
      <c r="A55" s="7">
        <v>52</v>
      </c>
      <c r="B55" s="8" t="s">
        <v>337</v>
      </c>
      <c r="C55" s="9" t="s">
        <v>340</v>
      </c>
      <c r="D55" s="9" t="s">
        <v>341</v>
      </c>
      <c r="E55" s="12" t="s">
        <v>269</v>
      </c>
    </row>
    <row r="56" spans="1:5" ht="30" customHeight="1" x14ac:dyDescent="0.2">
      <c r="A56" s="3">
        <v>53</v>
      </c>
      <c r="B56" s="4" t="s">
        <v>337</v>
      </c>
      <c r="C56" s="5" t="s">
        <v>342</v>
      </c>
      <c r="D56" s="5" t="s">
        <v>343</v>
      </c>
      <c r="E56" s="12" t="s">
        <v>269</v>
      </c>
    </row>
    <row r="57" spans="1:5" ht="30" customHeight="1" x14ac:dyDescent="0.2">
      <c r="A57" s="7">
        <v>54</v>
      </c>
      <c r="B57" s="8" t="s">
        <v>337</v>
      </c>
      <c r="C57" s="9" t="s">
        <v>344</v>
      </c>
      <c r="D57" s="9" t="s">
        <v>345</v>
      </c>
      <c r="E57" s="11" t="s">
        <v>247</v>
      </c>
    </row>
    <row r="58" spans="1:5" ht="30" customHeight="1" x14ac:dyDescent="0.2">
      <c r="A58" s="3">
        <v>55</v>
      </c>
      <c r="B58" s="4" t="s">
        <v>346</v>
      </c>
      <c r="C58" s="5" t="s">
        <v>347</v>
      </c>
      <c r="D58" s="5" t="s">
        <v>348</v>
      </c>
      <c r="E58" s="12" t="s">
        <v>269</v>
      </c>
    </row>
    <row r="59" spans="1:5" ht="30" customHeight="1" x14ac:dyDescent="0.2">
      <c r="A59" s="7">
        <v>56</v>
      </c>
      <c r="B59" s="8" t="s">
        <v>346</v>
      </c>
      <c r="C59" s="9" t="s">
        <v>349</v>
      </c>
      <c r="D59" s="9" t="s">
        <v>350</v>
      </c>
      <c r="E59" s="12" t="s">
        <v>269</v>
      </c>
    </row>
    <row r="60" spans="1:5" ht="30" customHeight="1" x14ac:dyDescent="0.2">
      <c r="A60" s="3">
        <v>57</v>
      </c>
      <c r="B60" s="4" t="s">
        <v>346</v>
      </c>
      <c r="C60" s="5" t="s">
        <v>351</v>
      </c>
      <c r="D60" s="5" t="s">
        <v>352</v>
      </c>
      <c r="E60" s="12" t="s">
        <v>269</v>
      </c>
    </row>
    <row r="61" spans="1:5" ht="30" customHeight="1" x14ac:dyDescent="0.2">
      <c r="A61" s="7">
        <v>58</v>
      </c>
      <c r="B61" s="8" t="s">
        <v>346</v>
      </c>
      <c r="C61" s="9" t="s">
        <v>353</v>
      </c>
      <c r="D61" s="9" t="s">
        <v>354</v>
      </c>
      <c r="E61" s="12" t="s">
        <v>269</v>
      </c>
    </row>
    <row r="62" spans="1:5" ht="30" customHeight="1" x14ac:dyDescent="0.2">
      <c r="A62" s="3">
        <v>59</v>
      </c>
      <c r="B62" s="4" t="s">
        <v>346</v>
      </c>
      <c r="C62" s="5" t="s">
        <v>355</v>
      </c>
      <c r="D62" s="5" t="s">
        <v>356</v>
      </c>
      <c r="E62" s="13" t="s">
        <v>283</v>
      </c>
    </row>
    <row r="63" spans="1:5" ht="30" customHeight="1" x14ac:dyDescent="0.2">
      <c r="A63" s="7">
        <v>60</v>
      </c>
      <c r="B63" s="8" t="s">
        <v>346</v>
      </c>
      <c r="C63" s="9" t="s">
        <v>357</v>
      </c>
      <c r="D63" s="9" t="s">
        <v>358</v>
      </c>
      <c r="E63" s="12" t="s">
        <v>269</v>
      </c>
    </row>
    <row r="64" spans="1:5" ht="30" customHeight="1" x14ac:dyDescent="0.2">
      <c r="A64" s="3">
        <v>61</v>
      </c>
      <c r="B64" s="4" t="s">
        <v>359</v>
      </c>
      <c r="C64" s="5" t="s">
        <v>360</v>
      </c>
      <c r="D64" s="5" t="s">
        <v>361</v>
      </c>
      <c r="E64" s="10" t="s">
        <v>233</v>
      </c>
    </row>
    <row r="65" spans="1:5" ht="30" customHeight="1" x14ac:dyDescent="0.2">
      <c r="A65" s="7">
        <v>62</v>
      </c>
      <c r="B65" s="8" t="s">
        <v>359</v>
      </c>
      <c r="C65" s="9" t="s">
        <v>362</v>
      </c>
      <c r="D65" s="9" t="s">
        <v>363</v>
      </c>
      <c r="E65" s="10" t="s">
        <v>233</v>
      </c>
    </row>
    <row r="66" spans="1:5" ht="30" customHeight="1" x14ac:dyDescent="0.2">
      <c r="A66" s="3">
        <v>63</v>
      </c>
      <c r="B66" s="4" t="s">
        <v>359</v>
      </c>
      <c r="C66" s="5" t="s">
        <v>364</v>
      </c>
      <c r="D66" s="5" t="s">
        <v>365</v>
      </c>
      <c r="E66" s="11" t="s">
        <v>247</v>
      </c>
    </row>
    <row r="67" spans="1:5" ht="30" customHeight="1" x14ac:dyDescent="0.2">
      <c r="A67" s="7">
        <v>64</v>
      </c>
      <c r="B67" s="8" t="s">
        <v>359</v>
      </c>
      <c r="C67" s="9" t="s">
        <v>366</v>
      </c>
      <c r="D67" s="9" t="s">
        <v>367</v>
      </c>
      <c r="E67" s="11" t="s">
        <v>247</v>
      </c>
    </row>
    <row r="68" spans="1:5" ht="30" customHeight="1" x14ac:dyDescent="0.2">
      <c r="A68" s="3">
        <v>65</v>
      </c>
      <c r="B68" s="4" t="s">
        <v>359</v>
      </c>
      <c r="C68" s="5" t="s">
        <v>368</v>
      </c>
      <c r="D68" s="5" t="s">
        <v>369</v>
      </c>
      <c r="E68" s="11" t="s">
        <v>247</v>
      </c>
    </row>
    <row r="69" spans="1:5" ht="30" customHeight="1" x14ac:dyDescent="0.2">
      <c r="A69" s="7">
        <v>66</v>
      </c>
      <c r="B69" s="8" t="s">
        <v>370</v>
      </c>
      <c r="C69" s="9" t="s">
        <v>371</v>
      </c>
      <c r="D69" s="9" t="s">
        <v>372</v>
      </c>
      <c r="E69" s="14" t="s">
        <v>373</v>
      </c>
    </row>
    <row r="70" spans="1:5" ht="30" customHeight="1" x14ac:dyDescent="0.2">
      <c r="A70" s="3">
        <v>67</v>
      </c>
      <c r="B70" s="4" t="s">
        <v>370</v>
      </c>
      <c r="C70" s="5" t="s">
        <v>374</v>
      </c>
      <c r="D70" s="5" t="s">
        <v>375</v>
      </c>
      <c r="E70" s="10" t="s">
        <v>233</v>
      </c>
    </row>
    <row r="71" spans="1:5" ht="30" customHeight="1" x14ac:dyDescent="0.2">
      <c r="A71" s="7">
        <v>68</v>
      </c>
      <c r="B71" s="8" t="s">
        <v>370</v>
      </c>
      <c r="C71" s="9" t="s">
        <v>376</v>
      </c>
      <c r="D71" s="9" t="s">
        <v>377</v>
      </c>
      <c r="E71" s="10" t="s">
        <v>233</v>
      </c>
    </row>
    <row r="72" spans="1:5" ht="30" customHeight="1" x14ac:dyDescent="0.2">
      <c r="A72" s="3">
        <v>69</v>
      </c>
      <c r="B72" s="4" t="s">
        <v>370</v>
      </c>
      <c r="C72" s="5" t="s">
        <v>378</v>
      </c>
      <c r="D72" s="5" t="s">
        <v>379</v>
      </c>
      <c r="E72" s="6" t="s">
        <v>228</v>
      </c>
    </row>
    <row r="73" spans="1:5" ht="30" customHeight="1" x14ac:dyDescent="0.2">
      <c r="A73" s="7">
        <v>70</v>
      </c>
      <c r="B73" s="8" t="s">
        <v>370</v>
      </c>
      <c r="C73" s="9" t="s">
        <v>380</v>
      </c>
      <c r="D73" s="9" t="s">
        <v>381</v>
      </c>
      <c r="E73" s="6" t="s">
        <v>228</v>
      </c>
    </row>
    <row r="74" spans="1:5" ht="30" customHeight="1" x14ac:dyDescent="0.2">
      <c r="A74" s="3">
        <v>71</v>
      </c>
      <c r="B74" s="4" t="s">
        <v>382</v>
      </c>
      <c r="C74" s="5" t="s">
        <v>383</v>
      </c>
      <c r="D74" s="5" t="s">
        <v>384</v>
      </c>
      <c r="E74" s="11" t="s">
        <v>247</v>
      </c>
    </row>
    <row r="75" spans="1:5" ht="30" customHeight="1" x14ac:dyDescent="0.2">
      <c r="A75" s="7">
        <v>72</v>
      </c>
      <c r="B75" s="8" t="s">
        <v>382</v>
      </c>
      <c r="C75" s="9" t="s">
        <v>385</v>
      </c>
      <c r="D75" s="9" t="s">
        <v>386</v>
      </c>
      <c r="E75" s="11" t="s">
        <v>247</v>
      </c>
    </row>
    <row r="76" spans="1:5" ht="30" customHeight="1" x14ac:dyDescent="0.2">
      <c r="A76" s="3">
        <v>73</v>
      </c>
      <c r="B76" s="4" t="s">
        <v>382</v>
      </c>
      <c r="C76" s="5" t="s">
        <v>387</v>
      </c>
      <c r="D76" s="5" t="s">
        <v>388</v>
      </c>
      <c r="E76" s="11" t="s">
        <v>247</v>
      </c>
    </row>
    <row r="77" spans="1:5" ht="30" customHeight="1" x14ac:dyDescent="0.2">
      <c r="A77" s="7">
        <v>74</v>
      </c>
      <c r="B77" s="8" t="s">
        <v>382</v>
      </c>
      <c r="C77" s="9" t="s">
        <v>389</v>
      </c>
      <c r="D77" s="9" t="s">
        <v>390</v>
      </c>
      <c r="E77" s="13" t="s">
        <v>283</v>
      </c>
    </row>
    <row r="78" spans="1:5" ht="30" customHeight="1" x14ac:dyDescent="0.2">
      <c r="A78" s="3">
        <v>75</v>
      </c>
      <c r="B78" s="4" t="s">
        <v>382</v>
      </c>
      <c r="C78" s="5" t="s">
        <v>391</v>
      </c>
      <c r="D78" s="5" t="s">
        <v>392</v>
      </c>
      <c r="E78" s="13" t="s">
        <v>283</v>
      </c>
    </row>
    <row r="79" spans="1:5" ht="30" customHeight="1" x14ac:dyDescent="0.2">
      <c r="A79" s="7">
        <v>76</v>
      </c>
      <c r="B79" s="8" t="s">
        <v>382</v>
      </c>
      <c r="C79" s="9" t="s">
        <v>393</v>
      </c>
      <c r="D79" s="9" t="s">
        <v>394</v>
      </c>
      <c r="E79" s="13" t="s">
        <v>283</v>
      </c>
    </row>
    <row r="80" spans="1:5" ht="30" customHeight="1" x14ac:dyDescent="0.2">
      <c r="A80" s="3">
        <v>77</v>
      </c>
      <c r="B80" s="4" t="s">
        <v>382</v>
      </c>
      <c r="C80" s="5" t="s">
        <v>395</v>
      </c>
      <c r="D80" s="5" t="s">
        <v>396</v>
      </c>
      <c r="E80" s="13" t="s">
        <v>283</v>
      </c>
    </row>
    <row r="81" spans="1:5" ht="30" customHeight="1" x14ac:dyDescent="0.2">
      <c r="A81" s="7">
        <v>78</v>
      </c>
      <c r="B81" s="8" t="s">
        <v>397</v>
      </c>
      <c r="C81" s="9" t="s">
        <v>398</v>
      </c>
      <c r="D81" s="9" t="s">
        <v>399</v>
      </c>
      <c r="E81" s="14" t="s">
        <v>373</v>
      </c>
    </row>
    <row r="82" spans="1:5" ht="30" customHeight="1" x14ac:dyDescent="0.2">
      <c r="A82" s="3">
        <v>79</v>
      </c>
      <c r="B82" s="4" t="s">
        <v>397</v>
      </c>
      <c r="C82" s="5" t="s">
        <v>400</v>
      </c>
      <c r="D82" s="5" t="s">
        <v>401</v>
      </c>
      <c r="E82" s="6" t="s">
        <v>228</v>
      </c>
    </row>
    <row r="83" spans="1:5" ht="30" customHeight="1" x14ac:dyDescent="0.2">
      <c r="A83" s="7">
        <v>80</v>
      </c>
      <c r="B83" s="8" t="s">
        <v>397</v>
      </c>
      <c r="C83" s="9" t="s">
        <v>402</v>
      </c>
      <c r="D83" s="9" t="s">
        <v>403</v>
      </c>
      <c r="E83" s="14" t="s">
        <v>373</v>
      </c>
    </row>
    <row r="84" spans="1:5" ht="30" customHeight="1" x14ac:dyDescent="0.2">
      <c r="A84" s="3">
        <v>81</v>
      </c>
      <c r="B84" s="4" t="s">
        <v>397</v>
      </c>
      <c r="C84" s="5" t="s">
        <v>404</v>
      </c>
      <c r="D84" s="5" t="s">
        <v>405</v>
      </c>
      <c r="E84" s="11" t="s">
        <v>247</v>
      </c>
    </row>
    <row r="85" spans="1:5" ht="30" customHeight="1" x14ac:dyDescent="0.2">
      <c r="A85" s="7">
        <v>82</v>
      </c>
      <c r="B85" s="8" t="s">
        <v>397</v>
      </c>
      <c r="C85" s="9" t="s">
        <v>406</v>
      </c>
      <c r="D85" s="9" t="s">
        <v>407</v>
      </c>
      <c r="E85" s="11" t="s">
        <v>247</v>
      </c>
    </row>
    <row r="86" spans="1:5" ht="30" customHeight="1" x14ac:dyDescent="0.2">
      <c r="A86" s="3">
        <v>83</v>
      </c>
      <c r="B86" s="4" t="s">
        <v>397</v>
      </c>
      <c r="C86" s="5" t="s">
        <v>408</v>
      </c>
      <c r="D86" s="5" t="s">
        <v>409</v>
      </c>
      <c r="E86" s="11" t="s">
        <v>247</v>
      </c>
    </row>
    <row r="87" spans="1:5" ht="30" customHeight="1" x14ac:dyDescent="0.2">
      <c r="A87" s="7">
        <v>84</v>
      </c>
      <c r="B87" s="8" t="s">
        <v>397</v>
      </c>
      <c r="C87" s="9" t="s">
        <v>410</v>
      </c>
      <c r="D87" s="9" t="s">
        <v>411</v>
      </c>
      <c r="E87" s="13" t="s">
        <v>283</v>
      </c>
    </row>
    <row r="88" spans="1:5" ht="30" customHeight="1" x14ac:dyDescent="0.2">
      <c r="A88" s="3">
        <v>85</v>
      </c>
      <c r="B88" s="4" t="s">
        <v>397</v>
      </c>
      <c r="C88" s="5" t="s">
        <v>412</v>
      </c>
      <c r="D88" s="5" t="s">
        <v>413</v>
      </c>
      <c r="E88" s="13" t="s">
        <v>283</v>
      </c>
    </row>
    <row r="89" spans="1:5" ht="30" customHeight="1" x14ac:dyDescent="0.2">
      <c r="A89" s="7">
        <v>86</v>
      </c>
      <c r="B89" s="8" t="s">
        <v>414</v>
      </c>
      <c r="C89" s="9" t="s">
        <v>415</v>
      </c>
      <c r="D89" s="9" t="s">
        <v>416</v>
      </c>
      <c r="E89" s="12" t="s">
        <v>269</v>
      </c>
    </row>
    <row r="90" spans="1:5" ht="30" customHeight="1" x14ac:dyDescent="0.2">
      <c r="A90" s="3">
        <v>87</v>
      </c>
      <c r="B90" s="4" t="s">
        <v>414</v>
      </c>
      <c r="C90" s="5" t="s">
        <v>417</v>
      </c>
      <c r="D90" s="5" t="s">
        <v>418</v>
      </c>
      <c r="E90" s="13" t="s">
        <v>283</v>
      </c>
    </row>
    <row r="91" spans="1:5" ht="30" customHeight="1" x14ac:dyDescent="0.2">
      <c r="A91" s="7">
        <v>88</v>
      </c>
      <c r="B91" s="8" t="s">
        <v>414</v>
      </c>
      <c r="C91" s="9" t="s">
        <v>419</v>
      </c>
      <c r="D91" s="9" t="s">
        <v>420</v>
      </c>
      <c r="E91" s="13" t="s">
        <v>283</v>
      </c>
    </row>
    <row r="92" spans="1:5" ht="30" customHeight="1" x14ac:dyDescent="0.2">
      <c r="A92" s="3">
        <v>89</v>
      </c>
      <c r="B92" s="4" t="s">
        <v>414</v>
      </c>
      <c r="C92" s="5" t="s">
        <v>421</v>
      </c>
      <c r="D92" s="5" t="s">
        <v>422</v>
      </c>
      <c r="E92" s="13" t="s">
        <v>283</v>
      </c>
    </row>
    <row r="93" spans="1:5" ht="30" customHeight="1" x14ac:dyDescent="0.2">
      <c r="A93" s="7">
        <v>90</v>
      </c>
      <c r="B93" s="8" t="s">
        <v>414</v>
      </c>
      <c r="C93" s="9" t="s">
        <v>423</v>
      </c>
      <c r="D93" s="9" t="s">
        <v>424</v>
      </c>
      <c r="E93" s="13" t="s">
        <v>283</v>
      </c>
    </row>
    <row r="94" spans="1:5" ht="30" customHeight="1" x14ac:dyDescent="0.2">
      <c r="A94" s="3">
        <v>91</v>
      </c>
      <c r="B94" s="4" t="s">
        <v>414</v>
      </c>
      <c r="C94" s="5" t="s">
        <v>425</v>
      </c>
      <c r="D94" s="5" t="s">
        <v>426</v>
      </c>
      <c r="E94" s="13" t="s">
        <v>283</v>
      </c>
    </row>
    <row r="95" spans="1:5" ht="30" customHeight="1" x14ac:dyDescent="0.2">
      <c r="A95" s="7">
        <v>92</v>
      </c>
      <c r="B95" s="8" t="s">
        <v>427</v>
      </c>
      <c r="C95" s="9" t="s">
        <v>428</v>
      </c>
      <c r="D95" s="9" t="s">
        <v>429</v>
      </c>
      <c r="E95" s="13" t="s">
        <v>283</v>
      </c>
    </row>
    <row r="96" spans="1:5" ht="30" customHeight="1" x14ac:dyDescent="0.2">
      <c r="A96" s="3">
        <v>93</v>
      </c>
      <c r="B96" s="4" t="s">
        <v>427</v>
      </c>
      <c r="C96" s="5" t="s">
        <v>430</v>
      </c>
      <c r="D96" s="5" t="s">
        <v>431</v>
      </c>
      <c r="E96" s="13" t="s">
        <v>283</v>
      </c>
    </row>
    <row r="97" spans="1:5" ht="30" customHeight="1" x14ac:dyDescent="0.2">
      <c r="A97" s="7">
        <v>94</v>
      </c>
      <c r="B97" s="8" t="s">
        <v>432</v>
      </c>
      <c r="C97" s="9" t="s">
        <v>433</v>
      </c>
      <c r="D97" s="9" t="s">
        <v>434</v>
      </c>
      <c r="E97" s="10" t="s">
        <v>233</v>
      </c>
    </row>
    <row r="98" spans="1:5" ht="30" customHeight="1" x14ac:dyDescent="0.2">
      <c r="A98" s="3">
        <v>95</v>
      </c>
      <c r="B98" s="4" t="s">
        <v>432</v>
      </c>
      <c r="C98" s="5" t="s">
        <v>435</v>
      </c>
      <c r="D98" s="5" t="s">
        <v>436</v>
      </c>
      <c r="E98" s="11" t="s">
        <v>247</v>
      </c>
    </row>
    <row r="99" spans="1:5" ht="30" customHeight="1" x14ac:dyDescent="0.2">
      <c r="A99" s="7">
        <v>96</v>
      </c>
      <c r="B99" s="8" t="s">
        <v>432</v>
      </c>
      <c r="C99" s="9" t="s">
        <v>437</v>
      </c>
      <c r="D99" s="9" t="s">
        <v>438</v>
      </c>
      <c r="E99" s="11" t="s">
        <v>247</v>
      </c>
    </row>
    <row r="100" spans="1:5" ht="30" customHeight="1" x14ac:dyDescent="0.2">
      <c r="A100" s="3">
        <v>97</v>
      </c>
      <c r="B100" s="4" t="s">
        <v>432</v>
      </c>
      <c r="C100" s="5" t="s">
        <v>439</v>
      </c>
      <c r="D100" s="5" t="s">
        <v>440</v>
      </c>
      <c r="E100" s="11" t="s">
        <v>247</v>
      </c>
    </row>
    <row r="101" spans="1:5" ht="30" customHeight="1" x14ac:dyDescent="0.2">
      <c r="A101" s="7">
        <v>98</v>
      </c>
      <c r="B101" s="8" t="s">
        <v>432</v>
      </c>
      <c r="C101" s="9" t="s">
        <v>441</v>
      </c>
      <c r="D101" s="9" t="s">
        <v>442</v>
      </c>
      <c r="E101" s="10" t="s">
        <v>233</v>
      </c>
    </row>
    <row r="102" spans="1:5" ht="30" customHeight="1" x14ac:dyDescent="0.2">
      <c r="A102" s="3">
        <v>99</v>
      </c>
      <c r="B102" s="4" t="s">
        <v>443</v>
      </c>
      <c r="C102" s="5" t="s">
        <v>444</v>
      </c>
      <c r="D102" s="5" t="s">
        <v>445</v>
      </c>
      <c r="E102" s="10" t="s">
        <v>233</v>
      </c>
    </row>
    <row r="103" spans="1:5" ht="30" customHeight="1" x14ac:dyDescent="0.2">
      <c r="A103" s="7">
        <v>100</v>
      </c>
      <c r="B103" s="8" t="s">
        <v>443</v>
      </c>
      <c r="C103" s="9" t="s">
        <v>446</v>
      </c>
      <c r="D103" s="9" t="s">
        <v>447</v>
      </c>
      <c r="E103" s="11" t="s">
        <v>247</v>
      </c>
    </row>
    <row r="104" spans="1:5" ht="30" customHeight="1" x14ac:dyDescent="0.2">
      <c r="A104" s="3">
        <v>101</v>
      </c>
      <c r="B104" s="4" t="s">
        <v>443</v>
      </c>
      <c r="C104" s="5" t="s">
        <v>448</v>
      </c>
      <c r="D104" s="5" t="s">
        <v>449</v>
      </c>
      <c r="E104" s="11" t="s">
        <v>247</v>
      </c>
    </row>
    <row r="105" spans="1:5" ht="30" customHeight="1" x14ac:dyDescent="0.2">
      <c r="A105" s="7">
        <v>102</v>
      </c>
      <c r="B105" s="8" t="s">
        <v>443</v>
      </c>
      <c r="C105" s="9" t="s">
        <v>450</v>
      </c>
      <c r="D105" s="9" t="s">
        <v>451</v>
      </c>
      <c r="E105" s="6" t="s">
        <v>228</v>
      </c>
    </row>
    <row r="106" spans="1:5" ht="30" customHeight="1" x14ac:dyDescent="0.2">
      <c r="A106" s="3">
        <v>103</v>
      </c>
      <c r="B106" s="4" t="s">
        <v>452</v>
      </c>
      <c r="C106" s="5" t="s">
        <v>453</v>
      </c>
      <c r="D106" s="5" t="s">
        <v>454</v>
      </c>
      <c r="E106" s="10" t="s">
        <v>233</v>
      </c>
    </row>
    <row r="107" spans="1:5" ht="30" customHeight="1" x14ac:dyDescent="0.2">
      <c r="A107" s="7">
        <v>104</v>
      </c>
      <c r="B107" s="8" t="s">
        <v>452</v>
      </c>
      <c r="C107" s="9" t="s">
        <v>187</v>
      </c>
      <c r="D107" s="9" t="s">
        <v>455</v>
      </c>
      <c r="E107" s="11" t="s">
        <v>247</v>
      </c>
    </row>
    <row r="108" spans="1:5" ht="30" customHeight="1" x14ac:dyDescent="0.2">
      <c r="A108" s="3">
        <v>105</v>
      </c>
      <c r="B108" s="4" t="s">
        <v>452</v>
      </c>
      <c r="C108" s="5" t="s">
        <v>456</v>
      </c>
      <c r="D108" s="5" t="s">
        <v>457</v>
      </c>
      <c r="E108" s="11" t="s">
        <v>247</v>
      </c>
    </row>
    <row r="109" spans="1:5" ht="30" customHeight="1" x14ac:dyDescent="0.2">
      <c r="A109" s="7">
        <v>106</v>
      </c>
      <c r="B109" s="8" t="s">
        <v>452</v>
      </c>
      <c r="C109" s="9" t="s">
        <v>458</v>
      </c>
      <c r="D109" s="9" t="s">
        <v>459</v>
      </c>
      <c r="E109" s="10" t="s">
        <v>233</v>
      </c>
    </row>
    <row r="110" spans="1:5" ht="30" customHeight="1" x14ac:dyDescent="0.2">
      <c r="A110" s="3">
        <v>107</v>
      </c>
      <c r="B110" s="4" t="s">
        <v>452</v>
      </c>
      <c r="C110" s="5" t="s">
        <v>460</v>
      </c>
      <c r="D110" s="5" t="s">
        <v>461</v>
      </c>
      <c r="E110" s="10" t="s">
        <v>233</v>
      </c>
    </row>
    <row r="111" spans="1:5" ht="30" customHeight="1" x14ac:dyDescent="0.2">
      <c r="A111" s="7">
        <v>108</v>
      </c>
      <c r="B111" s="8" t="s">
        <v>462</v>
      </c>
      <c r="C111" s="9" t="s">
        <v>463</v>
      </c>
      <c r="D111" s="9" t="s">
        <v>464</v>
      </c>
      <c r="E111" s="11" t="s">
        <v>247</v>
      </c>
    </row>
    <row r="112" spans="1:5" ht="30" customHeight="1" x14ac:dyDescent="0.2">
      <c r="A112" s="3">
        <v>109</v>
      </c>
      <c r="B112" s="4" t="s">
        <v>462</v>
      </c>
      <c r="C112" s="5" t="s">
        <v>465</v>
      </c>
      <c r="D112" s="5" t="s">
        <v>466</v>
      </c>
      <c r="E112" s="11" t="s">
        <v>247</v>
      </c>
    </row>
    <row r="113" spans="1:5" ht="30" customHeight="1" x14ac:dyDescent="0.2">
      <c r="A113" s="7">
        <v>110</v>
      </c>
      <c r="B113" s="8" t="s">
        <v>467</v>
      </c>
      <c r="C113" s="9" t="s">
        <v>468</v>
      </c>
      <c r="D113" s="9" t="s">
        <v>469</v>
      </c>
      <c r="E113" s="14" t="s">
        <v>373</v>
      </c>
    </row>
    <row r="114" spans="1:5" ht="30" customHeight="1" x14ac:dyDescent="0.2">
      <c r="A114" s="3">
        <v>111</v>
      </c>
      <c r="B114" s="4" t="s">
        <v>467</v>
      </c>
      <c r="C114" s="5" t="s">
        <v>470</v>
      </c>
      <c r="D114" s="5" t="s">
        <v>471</v>
      </c>
      <c r="E114" s="11" t="s">
        <v>247</v>
      </c>
    </row>
    <row r="115" spans="1:5" ht="30" customHeight="1" x14ac:dyDescent="0.2">
      <c r="A115" s="7">
        <v>112</v>
      </c>
      <c r="B115" s="8" t="s">
        <v>467</v>
      </c>
      <c r="C115" s="9" t="s">
        <v>472</v>
      </c>
      <c r="D115" s="9" t="s">
        <v>473</v>
      </c>
      <c r="E115" s="11" t="s">
        <v>247</v>
      </c>
    </row>
    <row r="116" spans="1:5" ht="30" customHeight="1" x14ac:dyDescent="0.2">
      <c r="A116" s="3">
        <v>113</v>
      </c>
      <c r="B116" s="4" t="s">
        <v>474</v>
      </c>
      <c r="C116" s="5" t="s">
        <v>475</v>
      </c>
      <c r="D116" s="5" t="s">
        <v>476</v>
      </c>
      <c r="E116" s="13" t="s">
        <v>283</v>
      </c>
    </row>
    <row r="117" spans="1:5" ht="30" customHeight="1" x14ac:dyDescent="0.2">
      <c r="A117" s="7">
        <v>114</v>
      </c>
      <c r="B117" s="8" t="s">
        <v>474</v>
      </c>
      <c r="C117" s="9" t="s">
        <v>477</v>
      </c>
      <c r="D117" s="9" t="s">
        <v>478</v>
      </c>
      <c r="E117" s="13" t="s">
        <v>283</v>
      </c>
    </row>
    <row r="118" spans="1:5" ht="30" customHeight="1" x14ac:dyDescent="0.2">
      <c r="A118" s="3">
        <v>115</v>
      </c>
      <c r="B118" s="4" t="s">
        <v>474</v>
      </c>
      <c r="C118" s="5" t="s">
        <v>479</v>
      </c>
      <c r="D118" s="5" t="s">
        <v>480</v>
      </c>
      <c r="E118" s="13" t="s">
        <v>283</v>
      </c>
    </row>
    <row r="119" spans="1:5" ht="30" customHeight="1" x14ac:dyDescent="0.2">
      <c r="A119" s="7">
        <v>116</v>
      </c>
      <c r="B119" s="8" t="s">
        <v>474</v>
      </c>
      <c r="C119" s="9" t="s">
        <v>481</v>
      </c>
      <c r="D119" s="9" t="s">
        <v>482</v>
      </c>
      <c r="E119" s="13" t="s">
        <v>283</v>
      </c>
    </row>
    <row r="120" spans="1:5" ht="30" customHeight="1" x14ac:dyDescent="0.2">
      <c r="A120" s="3">
        <v>117</v>
      </c>
      <c r="B120" s="4" t="s">
        <v>483</v>
      </c>
      <c r="C120" s="5" t="s">
        <v>484</v>
      </c>
      <c r="D120" s="5" t="s">
        <v>485</v>
      </c>
      <c r="E120" s="6" t="s">
        <v>228</v>
      </c>
    </row>
    <row r="121" spans="1:5" ht="30" customHeight="1" x14ac:dyDescent="0.2">
      <c r="A121" s="7">
        <v>118</v>
      </c>
      <c r="B121" s="8" t="s">
        <v>483</v>
      </c>
      <c r="C121" s="9" t="s">
        <v>486</v>
      </c>
      <c r="D121" s="9" t="s">
        <v>487</v>
      </c>
      <c r="E121" s="11" t="s">
        <v>247</v>
      </c>
    </row>
    <row r="122" spans="1:5" ht="30" customHeight="1" x14ac:dyDescent="0.2">
      <c r="A122" s="3">
        <v>119</v>
      </c>
      <c r="B122" s="4" t="s">
        <v>483</v>
      </c>
      <c r="C122" s="5" t="s">
        <v>488</v>
      </c>
      <c r="D122" s="5" t="s">
        <v>489</v>
      </c>
      <c r="E122" s="11" t="s">
        <v>247</v>
      </c>
    </row>
    <row r="123" spans="1:5" ht="30" customHeight="1" x14ac:dyDescent="0.2">
      <c r="A123" s="7">
        <v>120</v>
      </c>
      <c r="B123" s="8" t="s">
        <v>490</v>
      </c>
      <c r="C123" s="9" t="s">
        <v>491</v>
      </c>
      <c r="D123" s="9" t="s">
        <v>492</v>
      </c>
      <c r="E123" s="11" t="s">
        <v>247</v>
      </c>
    </row>
    <row r="124" spans="1:5" ht="30" customHeight="1" x14ac:dyDescent="0.2">
      <c r="A124" s="3">
        <v>121</v>
      </c>
      <c r="B124" s="4" t="s">
        <v>490</v>
      </c>
      <c r="C124" s="5" t="s">
        <v>493</v>
      </c>
      <c r="D124" s="5" t="s">
        <v>494</v>
      </c>
      <c r="E124" s="6" t="s">
        <v>228</v>
      </c>
    </row>
    <row r="125" spans="1:5" ht="30" customHeight="1" x14ac:dyDescent="0.2">
      <c r="A125" s="7">
        <v>122</v>
      </c>
      <c r="B125" s="8" t="s">
        <v>490</v>
      </c>
      <c r="C125" s="9" t="s">
        <v>495</v>
      </c>
      <c r="D125" s="9" t="s">
        <v>496</v>
      </c>
      <c r="E125" s="11" t="s">
        <v>247</v>
      </c>
    </row>
    <row r="126" spans="1:5" ht="30" customHeight="1" x14ac:dyDescent="0.2">
      <c r="A126" s="3">
        <v>123</v>
      </c>
      <c r="B126" s="4" t="s">
        <v>490</v>
      </c>
      <c r="C126" s="5" t="s">
        <v>497</v>
      </c>
      <c r="D126" s="5" t="s">
        <v>498</v>
      </c>
      <c r="E126" s="11" t="s">
        <v>247</v>
      </c>
    </row>
    <row r="127" spans="1:5" ht="30" customHeight="1" x14ac:dyDescent="0.2">
      <c r="A127" s="7">
        <v>124</v>
      </c>
      <c r="B127" s="8" t="s">
        <v>490</v>
      </c>
      <c r="C127" s="9" t="s">
        <v>499</v>
      </c>
      <c r="D127" s="9" t="s">
        <v>500</v>
      </c>
      <c r="E127" s="11" t="s">
        <v>247</v>
      </c>
    </row>
    <row r="128" spans="1:5" ht="30" customHeight="1" x14ac:dyDescent="0.2">
      <c r="A128" s="3">
        <v>125</v>
      </c>
      <c r="B128" s="4" t="s">
        <v>490</v>
      </c>
      <c r="C128" s="5" t="s">
        <v>501</v>
      </c>
      <c r="D128" s="5" t="s">
        <v>502</v>
      </c>
      <c r="E128" s="11" t="s">
        <v>247</v>
      </c>
    </row>
    <row r="129" spans="1:5" ht="30" customHeight="1" x14ac:dyDescent="0.2">
      <c r="A129" s="7">
        <v>126</v>
      </c>
      <c r="B129" s="8" t="s">
        <v>490</v>
      </c>
      <c r="C129" s="9" t="s">
        <v>503</v>
      </c>
      <c r="D129" s="9" t="s">
        <v>504</v>
      </c>
      <c r="E129" s="11" t="s">
        <v>247</v>
      </c>
    </row>
    <row r="130" spans="1:5" ht="30" customHeight="1" x14ac:dyDescent="0.2">
      <c r="A130" s="3">
        <v>127</v>
      </c>
      <c r="B130" s="4" t="s">
        <v>490</v>
      </c>
      <c r="C130" s="5" t="s">
        <v>505</v>
      </c>
      <c r="D130" s="5" t="s">
        <v>506</v>
      </c>
      <c r="E130" s="11" t="s">
        <v>247</v>
      </c>
    </row>
    <row r="131" spans="1:5" ht="30" customHeight="1" x14ac:dyDescent="0.2">
      <c r="A131" s="7">
        <v>128</v>
      </c>
      <c r="B131" s="8" t="s">
        <v>490</v>
      </c>
      <c r="C131" s="9" t="s">
        <v>507</v>
      </c>
      <c r="D131" s="9" t="s">
        <v>508</v>
      </c>
      <c r="E131" s="11" t="s">
        <v>247</v>
      </c>
    </row>
    <row r="132" spans="1:5" ht="30" customHeight="1" x14ac:dyDescent="0.2">
      <c r="A132" s="3">
        <v>129</v>
      </c>
      <c r="B132" s="4" t="s">
        <v>490</v>
      </c>
      <c r="C132" s="5" t="s">
        <v>509</v>
      </c>
      <c r="D132" s="5" t="s">
        <v>510</v>
      </c>
      <c r="E132" s="11" t="s">
        <v>247</v>
      </c>
    </row>
    <row r="133" spans="1:5" ht="30" customHeight="1" x14ac:dyDescent="0.2">
      <c r="A133" s="7">
        <v>130</v>
      </c>
      <c r="B133" s="8" t="s">
        <v>490</v>
      </c>
      <c r="C133" s="9" t="s">
        <v>511</v>
      </c>
      <c r="D133" s="9" t="s">
        <v>512</v>
      </c>
      <c r="E133" s="11" t="s">
        <v>247</v>
      </c>
    </row>
    <row r="134" spans="1:5" ht="30" customHeight="1" x14ac:dyDescent="0.2">
      <c r="A134" s="3">
        <v>131</v>
      </c>
      <c r="B134" s="4" t="s">
        <v>490</v>
      </c>
      <c r="C134" s="5" t="s">
        <v>513</v>
      </c>
      <c r="D134" s="5" t="s">
        <v>514</v>
      </c>
      <c r="E134" s="11" t="s">
        <v>247</v>
      </c>
    </row>
    <row r="135" spans="1:5" ht="30" customHeight="1" x14ac:dyDescent="0.2">
      <c r="A135" s="7">
        <v>132</v>
      </c>
      <c r="B135" s="8" t="s">
        <v>490</v>
      </c>
      <c r="C135" s="9" t="s">
        <v>515</v>
      </c>
      <c r="D135" s="9" t="s">
        <v>516</v>
      </c>
      <c r="E135" s="11" t="s">
        <v>247</v>
      </c>
    </row>
    <row r="136" spans="1:5" ht="30" customHeight="1" x14ac:dyDescent="0.2">
      <c r="A136" s="3">
        <v>133</v>
      </c>
      <c r="B136" s="4" t="s">
        <v>490</v>
      </c>
      <c r="C136" s="5" t="s">
        <v>517</v>
      </c>
      <c r="D136" s="5" t="s">
        <v>518</v>
      </c>
      <c r="E136" s="11" t="s">
        <v>247</v>
      </c>
    </row>
    <row r="137" spans="1:5" ht="30" customHeight="1" x14ac:dyDescent="0.2">
      <c r="A137" s="7">
        <v>134</v>
      </c>
      <c r="B137" s="8" t="s">
        <v>490</v>
      </c>
      <c r="C137" s="9" t="s">
        <v>519</v>
      </c>
      <c r="D137" s="9" t="s">
        <v>520</v>
      </c>
      <c r="E137" s="11" t="s">
        <v>247</v>
      </c>
    </row>
    <row r="138" spans="1:5" ht="30" customHeight="1" x14ac:dyDescent="0.2">
      <c r="A138" s="3">
        <v>135</v>
      </c>
      <c r="B138" s="4" t="s">
        <v>490</v>
      </c>
      <c r="C138" s="5" t="s">
        <v>521</v>
      </c>
      <c r="D138" s="5" t="s">
        <v>522</v>
      </c>
      <c r="E138" s="11" t="s">
        <v>247</v>
      </c>
    </row>
    <row r="139" spans="1:5" ht="30" customHeight="1" x14ac:dyDescent="0.2">
      <c r="A139" s="7">
        <v>136</v>
      </c>
      <c r="B139" s="8" t="s">
        <v>490</v>
      </c>
      <c r="C139" s="9" t="s">
        <v>523</v>
      </c>
      <c r="D139" s="9" t="s">
        <v>524</v>
      </c>
      <c r="E139" s="11" t="s">
        <v>247</v>
      </c>
    </row>
    <row r="140" spans="1:5" ht="30" customHeight="1" x14ac:dyDescent="0.2">
      <c r="A140" s="3">
        <v>137</v>
      </c>
      <c r="B140" s="4" t="s">
        <v>490</v>
      </c>
      <c r="C140" s="5" t="s">
        <v>525</v>
      </c>
      <c r="D140" s="5" t="s">
        <v>526</v>
      </c>
      <c r="E140" s="11" t="s">
        <v>247</v>
      </c>
    </row>
    <row r="141" spans="1:5" ht="30" customHeight="1" x14ac:dyDescent="0.2">
      <c r="A141" s="7">
        <v>138</v>
      </c>
      <c r="B141" s="8" t="s">
        <v>490</v>
      </c>
      <c r="C141" s="9" t="s">
        <v>527</v>
      </c>
      <c r="D141" s="9" t="s">
        <v>528</v>
      </c>
      <c r="E141" s="11" t="s">
        <v>247</v>
      </c>
    </row>
    <row r="142" spans="1:5" ht="30" customHeight="1" x14ac:dyDescent="0.2">
      <c r="A142" s="3">
        <v>139</v>
      </c>
      <c r="B142" s="4" t="s">
        <v>490</v>
      </c>
      <c r="C142" s="5" t="s">
        <v>529</v>
      </c>
      <c r="D142" s="5" t="s">
        <v>530</v>
      </c>
      <c r="E142" s="11" t="s">
        <v>247</v>
      </c>
    </row>
    <row r="143" spans="1:5" ht="30" customHeight="1" x14ac:dyDescent="0.2">
      <c r="A143" s="7">
        <v>140</v>
      </c>
      <c r="B143" s="8" t="s">
        <v>490</v>
      </c>
      <c r="C143" s="9" t="s">
        <v>531</v>
      </c>
      <c r="D143" s="9" t="s">
        <v>532</v>
      </c>
      <c r="E143" s="11" t="s">
        <v>247</v>
      </c>
    </row>
    <row r="144" spans="1:5" ht="30" customHeight="1" x14ac:dyDescent="0.2">
      <c r="A144" s="3">
        <v>141</v>
      </c>
      <c r="B144" s="4" t="s">
        <v>490</v>
      </c>
      <c r="C144" s="5" t="s">
        <v>533</v>
      </c>
      <c r="D144" s="5" t="s">
        <v>534</v>
      </c>
      <c r="E144" s="11" t="s">
        <v>247</v>
      </c>
    </row>
    <row r="145" spans="1:5" x14ac:dyDescent="0.2">
      <c r="A145">
        <v>142</v>
      </c>
      <c r="B145" t="s">
        <v>236</v>
      </c>
      <c r="C145" t="s">
        <v>535</v>
      </c>
      <c r="D145" t="s">
        <v>536</v>
      </c>
      <c r="E145" t="s">
        <v>247</v>
      </c>
    </row>
    <row r="146" spans="1:5" ht="15" customHeight="1" x14ac:dyDescent="0.2">
      <c r="A146">
        <v>143</v>
      </c>
      <c r="B146" t="s">
        <v>236</v>
      </c>
      <c r="C146" t="s">
        <v>537</v>
      </c>
      <c r="D146" t="s">
        <v>538</v>
      </c>
      <c r="E146" t="s">
        <v>247</v>
      </c>
    </row>
    <row r="147" spans="1:5" ht="15" customHeight="1" x14ac:dyDescent="0.2">
      <c r="A147">
        <v>144</v>
      </c>
      <c r="B147" t="s">
        <v>254</v>
      </c>
      <c r="C147" t="s">
        <v>539</v>
      </c>
      <c r="D147" t="s">
        <v>540</v>
      </c>
      <c r="E147" t="s">
        <v>247</v>
      </c>
    </row>
    <row r="148" spans="1:5" ht="15" customHeight="1" x14ac:dyDescent="0.2">
      <c r="A148">
        <v>145</v>
      </c>
      <c r="B148" t="s">
        <v>337</v>
      </c>
      <c r="C148" t="s">
        <v>541</v>
      </c>
      <c r="D148" t="s">
        <v>542</v>
      </c>
      <c r="E148" t="s">
        <v>247</v>
      </c>
    </row>
    <row r="149" spans="1:5" ht="15" customHeight="1" x14ac:dyDescent="0.2">
      <c r="A149">
        <v>146</v>
      </c>
      <c r="B149" t="s">
        <v>314</v>
      </c>
      <c r="C149" t="s">
        <v>543</v>
      </c>
      <c r="D149" t="s">
        <v>544</v>
      </c>
      <c r="E149" t="s">
        <v>247</v>
      </c>
    </row>
    <row r="150" spans="1:5" ht="15" customHeight="1" x14ac:dyDescent="0.2">
      <c r="A150">
        <v>147</v>
      </c>
      <c r="B150" t="s">
        <v>225</v>
      </c>
      <c r="C150" t="s">
        <v>545</v>
      </c>
      <c r="D150" t="s">
        <v>546</v>
      </c>
      <c r="E150" t="s">
        <v>247</v>
      </c>
    </row>
    <row r="151" spans="1:5" ht="15" customHeight="1" x14ac:dyDescent="0.2">
      <c r="A151">
        <v>148</v>
      </c>
      <c r="B151" t="s">
        <v>225</v>
      </c>
      <c r="C151" t="s">
        <v>547</v>
      </c>
      <c r="D151" t="s">
        <v>548</v>
      </c>
      <c r="E151" t="s">
        <v>247</v>
      </c>
    </row>
    <row r="152" spans="1:5" ht="15" customHeight="1" x14ac:dyDescent="0.2"/>
    <row r="153" spans="1:5" x14ac:dyDescent="0.2">
      <c r="B153" s="15" t="s">
        <v>549</v>
      </c>
    </row>
    <row r="154" spans="1:5" x14ac:dyDescent="0.2">
      <c r="B154" s="16" t="s">
        <v>228</v>
      </c>
      <c r="C154" s="17" t="s">
        <v>550</v>
      </c>
    </row>
    <row r="155" spans="1:5" x14ac:dyDescent="0.2">
      <c r="B155" s="18" t="s">
        <v>233</v>
      </c>
      <c r="C155" s="17" t="s">
        <v>551</v>
      </c>
    </row>
    <row r="156" spans="1:5" x14ac:dyDescent="0.2">
      <c r="B156" s="19" t="s">
        <v>373</v>
      </c>
      <c r="C156" s="17" t="s">
        <v>552</v>
      </c>
    </row>
    <row r="157" spans="1:5" x14ac:dyDescent="0.2">
      <c r="B157" s="20" t="s">
        <v>283</v>
      </c>
      <c r="C157" s="17" t="s">
        <v>553</v>
      </c>
    </row>
    <row r="158" spans="1:5" x14ac:dyDescent="0.2">
      <c r="B158" s="21" t="s">
        <v>269</v>
      </c>
      <c r="C158" s="17" t="s">
        <v>554</v>
      </c>
    </row>
    <row r="159" spans="1:5" x14ac:dyDescent="0.2">
      <c r="B159" s="22" t="s">
        <v>247</v>
      </c>
      <c r="C159" s="17" t="s">
        <v>555</v>
      </c>
    </row>
  </sheetData>
  <mergeCells count="2">
    <mergeCell ref="A2:E2"/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34"/>
  <sheetViews>
    <sheetView tabSelected="1" zoomScaleNormal="100" workbookViewId="0">
      <pane ySplit="5" topLeftCell="A6" activePane="bottomLeft" state="frozen"/>
      <selection pane="bottomLeft" activeCell="B16" sqref="B16"/>
    </sheetView>
  </sheetViews>
  <sheetFormatPr baseColWidth="10" defaultColWidth="8.6640625" defaultRowHeight="15" x14ac:dyDescent="0.2"/>
  <cols>
    <col min="1" max="1" width="34" customWidth="1"/>
    <col min="2" max="5" width="18" customWidth="1"/>
    <col min="6" max="6" width="46.33203125" customWidth="1"/>
  </cols>
  <sheetData>
    <row r="1" spans="1:6" ht="21.75" customHeight="1" x14ac:dyDescent="0.2">
      <c r="A1" s="133" t="s">
        <v>0</v>
      </c>
    </row>
    <row r="2" spans="1:6" x14ac:dyDescent="0.2">
      <c r="A2" s="134" t="s">
        <v>1</v>
      </c>
    </row>
    <row r="3" spans="1:6" x14ac:dyDescent="0.2">
      <c r="A3" s="134" t="s">
        <v>2</v>
      </c>
    </row>
    <row r="5" spans="1:6" ht="36" customHeight="1" x14ac:dyDescent="0.2">
      <c r="A5" s="135" t="s">
        <v>3</v>
      </c>
      <c r="B5" s="135" t="s">
        <v>1182</v>
      </c>
      <c r="C5" s="135" t="s">
        <v>4</v>
      </c>
      <c r="D5" s="135" t="s">
        <v>5</v>
      </c>
      <c r="E5" s="135" t="s">
        <v>6</v>
      </c>
      <c r="F5" s="135" t="s">
        <v>7</v>
      </c>
    </row>
    <row r="6" spans="1:6" x14ac:dyDescent="0.2">
      <c r="A6" s="136" t="s">
        <v>8</v>
      </c>
      <c r="B6" s="136"/>
      <c r="C6" s="136"/>
      <c r="D6" s="136"/>
      <c r="E6" s="136"/>
      <c r="F6" s="136"/>
    </row>
    <row r="7" spans="1:6" x14ac:dyDescent="0.2">
      <c r="A7" s="137" t="s">
        <v>9</v>
      </c>
      <c r="B7" s="143" t="s">
        <v>10</v>
      </c>
      <c r="C7" s="138" t="s">
        <v>11</v>
      </c>
      <c r="D7" s="138" t="s">
        <v>12</v>
      </c>
      <c r="E7" s="138" t="s">
        <v>13</v>
      </c>
      <c r="F7" s="139" t="s">
        <v>14</v>
      </c>
    </row>
    <row r="8" spans="1:6" x14ac:dyDescent="0.2">
      <c r="A8" s="137" t="s">
        <v>15</v>
      </c>
      <c r="B8" s="138" t="s">
        <v>16</v>
      </c>
      <c r="C8" s="143" t="s">
        <v>17</v>
      </c>
      <c r="D8" s="138" t="s">
        <v>18</v>
      </c>
      <c r="E8" s="138" t="s">
        <v>19</v>
      </c>
      <c r="F8" s="139" t="s">
        <v>20</v>
      </c>
    </row>
    <row r="9" spans="1:6" x14ac:dyDescent="0.2">
      <c r="A9" s="137" t="s">
        <v>21</v>
      </c>
      <c r="B9" s="138" t="s">
        <v>22</v>
      </c>
      <c r="C9" s="138" t="s">
        <v>22</v>
      </c>
      <c r="D9" s="138" t="s">
        <v>22</v>
      </c>
      <c r="E9" s="138" t="s">
        <v>22</v>
      </c>
      <c r="F9" s="139" t="s">
        <v>23</v>
      </c>
    </row>
    <row r="10" spans="1:6" x14ac:dyDescent="0.2">
      <c r="A10" s="137" t="s">
        <v>24</v>
      </c>
      <c r="B10" s="140" t="s">
        <v>25</v>
      </c>
      <c r="C10" s="140" t="s">
        <v>25</v>
      </c>
      <c r="D10" s="141" t="s">
        <v>26</v>
      </c>
      <c r="E10" s="141" t="s">
        <v>26</v>
      </c>
      <c r="F10" s="139"/>
    </row>
    <row r="11" spans="1:6" x14ac:dyDescent="0.2">
      <c r="A11" s="136" t="s">
        <v>27</v>
      </c>
      <c r="B11" s="136"/>
      <c r="C11" s="136"/>
      <c r="D11" s="136"/>
      <c r="E11" s="136"/>
      <c r="F11" s="136"/>
    </row>
    <row r="12" spans="1:6" x14ac:dyDescent="0.2">
      <c r="A12" s="137" t="s">
        <v>28</v>
      </c>
      <c r="B12" s="138" t="s">
        <v>29</v>
      </c>
      <c r="C12" s="138" t="s">
        <v>30</v>
      </c>
      <c r="D12" s="138" t="s">
        <v>31</v>
      </c>
      <c r="E12" s="138" t="s">
        <v>13</v>
      </c>
      <c r="F12" s="139" t="s">
        <v>32</v>
      </c>
    </row>
    <row r="13" spans="1:6" x14ac:dyDescent="0.2">
      <c r="A13" s="144" t="s">
        <v>33</v>
      </c>
      <c r="B13" s="143" t="s">
        <v>34</v>
      </c>
      <c r="C13" s="143" t="s">
        <v>35</v>
      </c>
      <c r="D13" s="143" t="s">
        <v>36</v>
      </c>
      <c r="E13" s="138" t="s">
        <v>13</v>
      </c>
      <c r="F13" s="139" t="s">
        <v>37</v>
      </c>
    </row>
    <row r="14" spans="1:6" x14ac:dyDescent="0.2">
      <c r="A14" s="137" t="s">
        <v>38</v>
      </c>
      <c r="B14" s="138" t="s">
        <v>39</v>
      </c>
      <c r="C14" s="138" t="s">
        <v>39</v>
      </c>
      <c r="D14" s="138" t="s">
        <v>39</v>
      </c>
      <c r="E14" s="138" t="s">
        <v>13</v>
      </c>
      <c r="F14" s="139" t="s">
        <v>40</v>
      </c>
    </row>
    <row r="15" spans="1:6" x14ac:dyDescent="0.2">
      <c r="A15" s="137" t="s">
        <v>41</v>
      </c>
      <c r="B15" s="138" t="s">
        <v>42</v>
      </c>
      <c r="C15" s="138" t="s">
        <v>42</v>
      </c>
      <c r="D15" s="138" t="s">
        <v>42</v>
      </c>
      <c r="E15" s="138" t="s">
        <v>13</v>
      </c>
      <c r="F15" s="139" t="s">
        <v>43</v>
      </c>
    </row>
    <row r="16" spans="1:6" x14ac:dyDescent="0.2">
      <c r="A16" s="137" t="s">
        <v>44</v>
      </c>
      <c r="B16" s="138" t="s">
        <v>45</v>
      </c>
      <c r="C16" s="138" t="s">
        <v>45</v>
      </c>
      <c r="D16" s="138" t="s">
        <v>45</v>
      </c>
      <c r="E16" s="138" t="s">
        <v>45</v>
      </c>
      <c r="F16" s="139" t="s">
        <v>46</v>
      </c>
    </row>
    <row r="17" spans="1:6" x14ac:dyDescent="0.2">
      <c r="A17" s="137" t="s">
        <v>47</v>
      </c>
      <c r="B17" s="141" t="s">
        <v>26</v>
      </c>
      <c r="C17" s="141" t="s">
        <v>26</v>
      </c>
      <c r="D17" s="141" t="s">
        <v>26</v>
      </c>
      <c r="E17" s="141" t="s">
        <v>26</v>
      </c>
      <c r="F17" s="139" t="s">
        <v>48</v>
      </c>
    </row>
    <row r="18" spans="1:6" x14ac:dyDescent="0.2">
      <c r="A18" s="137" t="s">
        <v>49</v>
      </c>
      <c r="B18" s="141" t="s">
        <v>26</v>
      </c>
      <c r="C18" s="141" t="s">
        <v>26</v>
      </c>
      <c r="D18" s="141" t="s">
        <v>26</v>
      </c>
      <c r="E18" s="141" t="s">
        <v>26</v>
      </c>
      <c r="F18" s="139" t="s">
        <v>48</v>
      </c>
    </row>
    <row r="19" spans="1:6" x14ac:dyDescent="0.2">
      <c r="A19" s="137" t="s">
        <v>50</v>
      </c>
      <c r="B19" s="140" t="s">
        <v>25</v>
      </c>
      <c r="C19" s="141" t="s">
        <v>26</v>
      </c>
      <c r="D19" s="141" t="s">
        <v>26</v>
      </c>
      <c r="E19" s="141" t="s">
        <v>26</v>
      </c>
      <c r="F19" s="139" t="s">
        <v>51</v>
      </c>
    </row>
    <row r="20" spans="1:6" x14ac:dyDescent="0.2">
      <c r="A20" s="137" t="s">
        <v>52</v>
      </c>
      <c r="B20" s="140" t="s">
        <v>25</v>
      </c>
      <c r="C20" s="141" t="s">
        <v>26</v>
      </c>
      <c r="D20" s="141" t="s">
        <v>26</v>
      </c>
      <c r="E20" s="141" t="s">
        <v>26</v>
      </c>
      <c r="F20" s="139" t="s">
        <v>53</v>
      </c>
    </row>
    <row r="21" spans="1:6" x14ac:dyDescent="0.2">
      <c r="A21" s="137" t="s">
        <v>54</v>
      </c>
      <c r="B21" s="140" t="s">
        <v>25</v>
      </c>
      <c r="C21" s="141" t="s">
        <v>26</v>
      </c>
      <c r="D21" s="141" t="s">
        <v>26</v>
      </c>
      <c r="E21" s="141" t="s">
        <v>26</v>
      </c>
      <c r="F21" s="139"/>
    </row>
    <row r="22" spans="1:6" x14ac:dyDescent="0.2">
      <c r="A22" s="137" t="s">
        <v>55</v>
      </c>
      <c r="B22" s="140" t="s">
        <v>25</v>
      </c>
      <c r="C22" s="140" t="s">
        <v>25</v>
      </c>
      <c r="D22" s="141" t="s">
        <v>26</v>
      </c>
      <c r="E22" s="141" t="s">
        <v>26</v>
      </c>
      <c r="F22" s="139" t="s">
        <v>56</v>
      </c>
    </row>
    <row r="23" spans="1:6" x14ac:dyDescent="0.2">
      <c r="A23" s="137" t="s">
        <v>57</v>
      </c>
      <c r="B23" s="140" t="s">
        <v>25</v>
      </c>
      <c r="C23" s="141" t="s">
        <v>26</v>
      </c>
      <c r="D23" s="141" t="s">
        <v>26</v>
      </c>
      <c r="E23" s="141" t="s">
        <v>26</v>
      </c>
      <c r="F23" s="139" t="s">
        <v>58</v>
      </c>
    </row>
    <row r="24" spans="1:6" x14ac:dyDescent="0.2">
      <c r="A24" s="136" t="s">
        <v>59</v>
      </c>
      <c r="B24" s="136"/>
      <c r="C24" s="136"/>
      <c r="D24" s="136"/>
      <c r="E24" s="136"/>
      <c r="F24" s="136"/>
    </row>
    <row r="25" spans="1:6" x14ac:dyDescent="0.2">
      <c r="A25" s="137" t="s">
        <v>60</v>
      </c>
      <c r="B25" s="141" t="s">
        <v>26</v>
      </c>
      <c r="C25" s="141" t="s">
        <v>26</v>
      </c>
      <c r="D25" s="141" t="s">
        <v>26</v>
      </c>
      <c r="E25" s="141" t="s">
        <v>26</v>
      </c>
      <c r="F25" s="139" t="s">
        <v>61</v>
      </c>
    </row>
    <row r="26" spans="1:6" x14ac:dyDescent="0.2">
      <c r="A26" s="137" t="s">
        <v>62</v>
      </c>
      <c r="B26" s="141" t="s">
        <v>26</v>
      </c>
      <c r="C26" s="141" t="s">
        <v>26</v>
      </c>
      <c r="D26" s="141" t="s">
        <v>26</v>
      </c>
      <c r="E26" s="141" t="s">
        <v>26</v>
      </c>
      <c r="F26" s="139"/>
    </row>
    <row r="27" spans="1:6" x14ac:dyDescent="0.2">
      <c r="A27" s="137" t="s">
        <v>63</v>
      </c>
      <c r="B27" s="141" t="s">
        <v>26</v>
      </c>
      <c r="C27" s="141" t="s">
        <v>26</v>
      </c>
      <c r="D27" s="141" t="s">
        <v>26</v>
      </c>
      <c r="E27" s="141" t="s">
        <v>26</v>
      </c>
      <c r="F27" s="139"/>
    </row>
    <row r="28" spans="1:6" x14ac:dyDescent="0.2">
      <c r="A28" s="137" t="s">
        <v>64</v>
      </c>
      <c r="B28" s="141" t="s">
        <v>26</v>
      </c>
      <c r="C28" s="141" t="s">
        <v>26</v>
      </c>
      <c r="D28" s="141" t="s">
        <v>26</v>
      </c>
      <c r="E28" s="141" t="s">
        <v>26</v>
      </c>
      <c r="F28" s="139"/>
    </row>
    <row r="29" spans="1:6" x14ac:dyDescent="0.2">
      <c r="A29" s="137" t="s">
        <v>65</v>
      </c>
      <c r="B29" s="141" t="s">
        <v>26</v>
      </c>
      <c r="C29" s="141" t="s">
        <v>26</v>
      </c>
      <c r="D29" s="141" t="s">
        <v>26</v>
      </c>
      <c r="E29" s="141" t="s">
        <v>26</v>
      </c>
      <c r="F29" s="139" t="s">
        <v>66</v>
      </c>
    </row>
    <row r="30" spans="1:6" x14ac:dyDescent="0.2">
      <c r="A30" s="144" t="s">
        <v>1194</v>
      </c>
      <c r="B30" s="141" t="s">
        <v>26</v>
      </c>
      <c r="C30" s="141" t="s">
        <v>26</v>
      </c>
      <c r="D30" s="141" t="s">
        <v>26</v>
      </c>
      <c r="E30" s="141" t="s">
        <v>26</v>
      </c>
      <c r="F30" s="139" t="s">
        <v>67</v>
      </c>
    </row>
    <row r="31" spans="1:6" x14ac:dyDescent="0.2">
      <c r="A31" s="136" t="s">
        <v>68</v>
      </c>
      <c r="B31" s="136"/>
      <c r="C31" s="136"/>
      <c r="D31" s="136"/>
      <c r="E31" s="136"/>
      <c r="F31" s="136"/>
    </row>
    <row r="32" spans="1:6" x14ac:dyDescent="0.2">
      <c r="A32" s="137" t="s">
        <v>69</v>
      </c>
      <c r="B32" s="141" t="s">
        <v>26</v>
      </c>
      <c r="C32" s="141" t="s">
        <v>26</v>
      </c>
      <c r="D32" s="141" t="s">
        <v>26</v>
      </c>
      <c r="E32" s="141" t="s">
        <v>26</v>
      </c>
      <c r="F32" s="139" t="s">
        <v>70</v>
      </c>
    </row>
    <row r="33" spans="1:6" x14ac:dyDescent="0.2">
      <c r="A33" s="137" t="s">
        <v>71</v>
      </c>
      <c r="B33" s="141" t="s">
        <v>26</v>
      </c>
      <c r="C33" s="141" t="s">
        <v>26</v>
      </c>
      <c r="D33" s="141" t="s">
        <v>26</v>
      </c>
      <c r="E33" s="141" t="s">
        <v>26</v>
      </c>
      <c r="F33" s="139" t="s">
        <v>72</v>
      </c>
    </row>
    <row r="34" spans="1:6" x14ac:dyDescent="0.2">
      <c r="A34" s="137" t="s">
        <v>73</v>
      </c>
      <c r="B34" s="141" t="s">
        <v>26</v>
      </c>
      <c r="C34" s="141" t="s">
        <v>26</v>
      </c>
      <c r="D34" s="141" t="s">
        <v>26</v>
      </c>
      <c r="E34" s="141" t="s">
        <v>26</v>
      </c>
      <c r="F34" s="139"/>
    </row>
    <row r="35" spans="1:6" x14ac:dyDescent="0.2">
      <c r="A35" s="137" t="s">
        <v>74</v>
      </c>
      <c r="B35" s="140" t="s">
        <v>25</v>
      </c>
      <c r="C35" s="138" t="s">
        <v>75</v>
      </c>
      <c r="D35" s="138" t="s">
        <v>76</v>
      </c>
      <c r="E35" s="138" t="s">
        <v>76</v>
      </c>
      <c r="F35" s="139" t="s">
        <v>77</v>
      </c>
    </row>
    <row r="36" spans="1:6" x14ac:dyDescent="0.2">
      <c r="A36" s="137" t="s">
        <v>78</v>
      </c>
      <c r="B36" s="140" t="s">
        <v>25</v>
      </c>
      <c r="C36" s="141" t="s">
        <v>26</v>
      </c>
      <c r="D36" s="141" t="s">
        <v>26</v>
      </c>
      <c r="E36" s="141" t="s">
        <v>26</v>
      </c>
      <c r="F36" s="139" t="s">
        <v>79</v>
      </c>
    </row>
    <row r="37" spans="1:6" x14ac:dyDescent="0.2">
      <c r="A37" s="137" t="s">
        <v>80</v>
      </c>
      <c r="B37" s="140" t="s">
        <v>25</v>
      </c>
      <c r="C37" s="140" t="s">
        <v>25</v>
      </c>
      <c r="D37" s="141" t="s">
        <v>26</v>
      </c>
      <c r="E37" s="141" t="s">
        <v>26</v>
      </c>
      <c r="F37" s="139" t="s">
        <v>81</v>
      </c>
    </row>
    <row r="38" spans="1:6" x14ac:dyDescent="0.2">
      <c r="A38" s="137" t="s">
        <v>82</v>
      </c>
      <c r="B38" s="138" t="s">
        <v>83</v>
      </c>
      <c r="C38" s="138" t="s">
        <v>83</v>
      </c>
      <c r="D38" s="138" t="s">
        <v>83</v>
      </c>
      <c r="E38" s="138" t="s">
        <v>84</v>
      </c>
      <c r="F38" s="139" t="s">
        <v>85</v>
      </c>
    </row>
    <row r="39" spans="1:6" x14ac:dyDescent="0.2">
      <c r="A39" s="137" t="s">
        <v>86</v>
      </c>
      <c r="B39" s="141" t="s">
        <v>26</v>
      </c>
      <c r="C39" s="141" t="s">
        <v>26</v>
      </c>
      <c r="D39" s="141" t="s">
        <v>26</v>
      </c>
      <c r="E39" s="141" t="s">
        <v>26</v>
      </c>
      <c r="F39" s="139" t="s">
        <v>87</v>
      </c>
    </row>
    <row r="40" spans="1:6" x14ac:dyDescent="0.2">
      <c r="A40" s="137" t="s">
        <v>88</v>
      </c>
      <c r="B40" s="140" t="s">
        <v>25</v>
      </c>
      <c r="C40" s="140" t="s">
        <v>25</v>
      </c>
      <c r="D40" s="140" t="s">
        <v>25</v>
      </c>
      <c r="E40" s="141" t="s">
        <v>26</v>
      </c>
      <c r="F40" s="139" t="s">
        <v>89</v>
      </c>
    </row>
    <row r="41" spans="1:6" x14ac:dyDescent="0.2">
      <c r="A41" s="136" t="s">
        <v>90</v>
      </c>
      <c r="B41" s="136"/>
      <c r="C41" s="136"/>
      <c r="D41" s="136"/>
      <c r="E41" s="136"/>
      <c r="F41" s="136"/>
    </row>
    <row r="42" spans="1:6" x14ac:dyDescent="0.2">
      <c r="A42" s="137" t="s">
        <v>91</v>
      </c>
      <c r="B42" s="140" t="s">
        <v>25</v>
      </c>
      <c r="C42" s="140" t="s">
        <v>25</v>
      </c>
      <c r="D42" s="141" t="s">
        <v>26</v>
      </c>
      <c r="E42" s="141" t="s">
        <v>26</v>
      </c>
      <c r="F42" s="139" t="s">
        <v>92</v>
      </c>
    </row>
    <row r="43" spans="1:6" x14ac:dyDescent="0.2">
      <c r="A43" s="136" t="s">
        <v>93</v>
      </c>
      <c r="B43" s="136"/>
      <c r="C43" s="136"/>
      <c r="D43" s="136"/>
      <c r="E43" s="136"/>
      <c r="F43" s="136"/>
    </row>
    <row r="44" spans="1:6" x14ac:dyDescent="0.2">
      <c r="A44" s="137" t="s">
        <v>94</v>
      </c>
      <c r="B44" s="143">
        <v>3</v>
      </c>
      <c r="C44" s="138">
        <v>5</v>
      </c>
      <c r="D44" s="138">
        <v>5</v>
      </c>
      <c r="E44" s="138">
        <v>7</v>
      </c>
      <c r="F44" s="139" t="s">
        <v>95</v>
      </c>
    </row>
    <row r="45" spans="1:6" x14ac:dyDescent="0.2">
      <c r="A45" s="137" t="s">
        <v>96</v>
      </c>
      <c r="B45" s="141" t="s">
        <v>26</v>
      </c>
      <c r="C45" s="141" t="s">
        <v>26</v>
      </c>
      <c r="D45" s="141" t="s">
        <v>26</v>
      </c>
      <c r="E45" s="141" t="s">
        <v>26</v>
      </c>
      <c r="F45" s="139" t="s">
        <v>97</v>
      </c>
    </row>
    <row r="46" spans="1:6" s="140" customFormat="1" x14ac:dyDescent="0.2">
      <c r="A46" s="144" t="s">
        <v>1188</v>
      </c>
      <c r="B46" s="140" t="s">
        <v>25</v>
      </c>
      <c r="C46" s="140" t="s">
        <v>25</v>
      </c>
      <c r="D46" s="141" t="s">
        <v>26</v>
      </c>
      <c r="E46" s="141" t="s">
        <v>26</v>
      </c>
      <c r="F46" s="139" t="s">
        <v>1189</v>
      </c>
    </row>
    <row r="47" spans="1:6" x14ac:dyDescent="0.2">
      <c r="A47" s="136" t="s">
        <v>98</v>
      </c>
      <c r="B47" s="136"/>
      <c r="C47" s="136"/>
      <c r="D47" s="136"/>
      <c r="E47" s="136"/>
      <c r="F47" s="136"/>
    </row>
    <row r="48" spans="1:6" ht="29" customHeight="1" x14ac:dyDescent="0.2">
      <c r="A48" s="137" t="s">
        <v>99</v>
      </c>
      <c r="B48" s="141" t="s">
        <v>26</v>
      </c>
      <c r="C48" s="141" t="s">
        <v>26</v>
      </c>
      <c r="D48" s="141" t="s">
        <v>26</v>
      </c>
      <c r="E48" s="141" t="s">
        <v>26</v>
      </c>
      <c r="F48" s="139" t="s">
        <v>100</v>
      </c>
    </row>
    <row r="49" spans="1:6" x14ac:dyDescent="0.2">
      <c r="A49" s="137" t="s">
        <v>101</v>
      </c>
      <c r="B49" s="141" t="s">
        <v>26</v>
      </c>
      <c r="C49" s="141" t="s">
        <v>26</v>
      </c>
      <c r="D49" s="141" t="s">
        <v>26</v>
      </c>
      <c r="E49" s="141" t="s">
        <v>26</v>
      </c>
      <c r="F49" s="139" t="s">
        <v>102</v>
      </c>
    </row>
    <row r="50" spans="1:6" x14ac:dyDescent="0.2">
      <c r="A50" s="137" t="s">
        <v>103</v>
      </c>
      <c r="B50" s="140" t="s">
        <v>25</v>
      </c>
      <c r="C50" s="141" t="s">
        <v>26</v>
      </c>
      <c r="D50" s="141" t="s">
        <v>26</v>
      </c>
      <c r="E50" s="141" t="s">
        <v>26</v>
      </c>
      <c r="F50" s="139" t="s">
        <v>104</v>
      </c>
    </row>
    <row r="51" spans="1:6" x14ac:dyDescent="0.2">
      <c r="A51" s="137" t="s">
        <v>105</v>
      </c>
      <c r="B51" s="140" t="s">
        <v>25</v>
      </c>
      <c r="C51" s="141" t="s">
        <v>26</v>
      </c>
      <c r="D51" s="141" t="s">
        <v>26</v>
      </c>
      <c r="E51" s="141" t="s">
        <v>26</v>
      </c>
      <c r="F51" s="139" t="s">
        <v>106</v>
      </c>
    </row>
    <row r="52" spans="1:6" x14ac:dyDescent="0.2">
      <c r="A52" s="137" t="s">
        <v>107</v>
      </c>
      <c r="B52" s="140" t="s">
        <v>25</v>
      </c>
      <c r="C52" s="140" t="s">
        <v>25</v>
      </c>
      <c r="D52" s="141" t="s">
        <v>26</v>
      </c>
      <c r="E52" s="141" t="s">
        <v>26</v>
      </c>
      <c r="F52" s="139" t="s">
        <v>108</v>
      </c>
    </row>
    <row r="53" spans="1:6" x14ac:dyDescent="0.2">
      <c r="A53" s="137" t="s">
        <v>109</v>
      </c>
      <c r="B53" s="141" t="s">
        <v>26</v>
      </c>
      <c r="C53" s="141" t="s">
        <v>26</v>
      </c>
      <c r="D53" s="141" t="s">
        <v>26</v>
      </c>
      <c r="E53" s="141" t="s">
        <v>26</v>
      </c>
      <c r="F53" s="139" t="s">
        <v>110</v>
      </c>
    </row>
    <row r="54" spans="1:6" x14ac:dyDescent="0.2">
      <c r="A54" s="137" t="s">
        <v>111</v>
      </c>
      <c r="B54" s="140" t="s">
        <v>25</v>
      </c>
      <c r="C54" s="138" t="s">
        <v>112</v>
      </c>
      <c r="D54" s="138" t="s">
        <v>112</v>
      </c>
      <c r="E54" s="138" t="s">
        <v>113</v>
      </c>
      <c r="F54" s="139" t="s">
        <v>114</v>
      </c>
    </row>
    <row r="55" spans="1:6" x14ac:dyDescent="0.2">
      <c r="A55" s="136" t="s">
        <v>950</v>
      </c>
      <c r="B55" s="136"/>
      <c r="C55" s="136"/>
      <c r="D55" s="136"/>
      <c r="E55" s="136"/>
      <c r="F55" s="136"/>
    </row>
    <row r="56" spans="1:6" x14ac:dyDescent="0.2">
      <c r="A56" s="137" t="s">
        <v>115</v>
      </c>
      <c r="B56" s="140" t="s">
        <v>25</v>
      </c>
      <c r="C56" s="140" t="s">
        <v>25</v>
      </c>
      <c r="D56" s="141" t="s">
        <v>26</v>
      </c>
      <c r="E56" s="141" t="s">
        <v>26</v>
      </c>
      <c r="F56" s="139" t="s">
        <v>116</v>
      </c>
    </row>
    <row r="57" spans="1:6" x14ac:dyDescent="0.2">
      <c r="A57" s="137" t="s">
        <v>117</v>
      </c>
      <c r="B57" s="140" t="s">
        <v>25</v>
      </c>
      <c r="C57" s="140" t="s">
        <v>25</v>
      </c>
      <c r="D57" s="141" t="s">
        <v>26</v>
      </c>
      <c r="E57" s="141" t="s">
        <v>26</v>
      </c>
      <c r="F57" s="139"/>
    </row>
    <row r="58" spans="1:6" x14ac:dyDescent="0.2">
      <c r="A58" s="137" t="s">
        <v>118</v>
      </c>
      <c r="B58" s="140" t="s">
        <v>25</v>
      </c>
      <c r="C58" s="140" t="s">
        <v>25</v>
      </c>
      <c r="D58" s="141" t="s">
        <v>26</v>
      </c>
      <c r="E58" s="141" t="s">
        <v>26</v>
      </c>
      <c r="F58" s="139"/>
    </row>
    <row r="59" spans="1:6" x14ac:dyDescent="0.2">
      <c r="A59" s="137" t="s">
        <v>119</v>
      </c>
      <c r="B59" s="140" t="s">
        <v>25</v>
      </c>
      <c r="C59" s="141" t="s">
        <v>26</v>
      </c>
      <c r="D59" s="141" t="s">
        <v>26</v>
      </c>
      <c r="E59" s="141" t="s">
        <v>26</v>
      </c>
      <c r="F59" s="139"/>
    </row>
    <row r="60" spans="1:6" x14ac:dyDescent="0.2">
      <c r="A60" s="144" t="s">
        <v>1192</v>
      </c>
      <c r="B60" s="140" t="s">
        <v>25</v>
      </c>
      <c r="C60" s="140" t="s">
        <v>25</v>
      </c>
      <c r="D60" s="141" t="s">
        <v>26</v>
      </c>
      <c r="E60" s="141" t="s">
        <v>26</v>
      </c>
      <c r="F60" s="139" t="s">
        <v>121</v>
      </c>
    </row>
    <row r="61" spans="1:6" x14ac:dyDescent="0.2">
      <c r="A61" s="144" t="s">
        <v>1193</v>
      </c>
      <c r="B61" s="140" t="s">
        <v>25</v>
      </c>
      <c r="C61" s="140" t="s">
        <v>25</v>
      </c>
      <c r="D61" s="140" t="s">
        <v>25</v>
      </c>
      <c r="E61" s="141" t="s">
        <v>26</v>
      </c>
      <c r="F61" s="139"/>
    </row>
    <row r="62" spans="1:6" x14ac:dyDescent="0.2">
      <c r="A62" s="144" t="s">
        <v>1190</v>
      </c>
      <c r="B62" s="140" t="s">
        <v>25</v>
      </c>
      <c r="C62" s="140" t="s">
        <v>25</v>
      </c>
      <c r="D62" s="141" t="s">
        <v>26</v>
      </c>
      <c r="E62" s="141" t="s">
        <v>26</v>
      </c>
      <c r="F62" s="139" t="s">
        <v>1191</v>
      </c>
    </row>
    <row r="63" spans="1:6" x14ac:dyDescent="0.2">
      <c r="A63" s="136" t="s">
        <v>122</v>
      </c>
      <c r="B63" s="136"/>
      <c r="C63" s="136"/>
      <c r="D63" s="136"/>
      <c r="E63" s="136"/>
      <c r="F63" s="136"/>
    </row>
    <row r="64" spans="1:6" x14ac:dyDescent="0.2">
      <c r="A64" s="137" t="s">
        <v>123</v>
      </c>
      <c r="B64" s="140" t="s">
        <v>25</v>
      </c>
      <c r="C64" s="138" t="s">
        <v>124</v>
      </c>
      <c r="D64" s="138" t="s">
        <v>125</v>
      </c>
      <c r="E64" s="138" t="s">
        <v>126</v>
      </c>
      <c r="F64" s="139" t="s">
        <v>127</v>
      </c>
    </row>
    <row r="65" spans="1:6" x14ac:dyDescent="0.2">
      <c r="A65" s="137" t="s">
        <v>128</v>
      </c>
      <c r="B65" s="140" t="s">
        <v>25</v>
      </c>
      <c r="C65" s="138" t="s">
        <v>129</v>
      </c>
      <c r="D65" s="138" t="s">
        <v>129</v>
      </c>
      <c r="E65" s="138" t="s">
        <v>19</v>
      </c>
      <c r="F65" s="139"/>
    </row>
    <row r="66" spans="1:6" x14ac:dyDescent="0.2">
      <c r="A66" s="144" t="s">
        <v>1183</v>
      </c>
      <c r="B66" s="140" t="s">
        <v>25</v>
      </c>
      <c r="C66" s="141" t="s">
        <v>26</v>
      </c>
      <c r="D66" s="141" t="s">
        <v>26</v>
      </c>
      <c r="E66" s="141" t="s">
        <v>26</v>
      </c>
      <c r="F66" s="139"/>
    </row>
    <row r="67" spans="1:6" x14ac:dyDescent="0.2">
      <c r="A67" s="137" t="s">
        <v>130</v>
      </c>
      <c r="B67" s="140" t="s">
        <v>25</v>
      </c>
      <c r="C67" s="140" t="s">
        <v>25</v>
      </c>
      <c r="D67" s="141" t="s">
        <v>26</v>
      </c>
      <c r="E67" s="141" t="s">
        <v>26</v>
      </c>
      <c r="F67" s="139"/>
    </row>
    <row r="68" spans="1:6" x14ac:dyDescent="0.2">
      <c r="A68" s="137" t="s">
        <v>131</v>
      </c>
      <c r="B68" s="140" t="s">
        <v>25</v>
      </c>
      <c r="C68" s="141" t="s">
        <v>26</v>
      </c>
      <c r="D68" s="141" t="s">
        <v>26</v>
      </c>
      <c r="E68" s="141" t="s">
        <v>26</v>
      </c>
      <c r="F68" s="139"/>
    </row>
    <row r="69" spans="1:6" x14ac:dyDescent="0.2">
      <c r="A69" s="136" t="s">
        <v>132</v>
      </c>
      <c r="B69" s="136"/>
      <c r="C69" s="136"/>
      <c r="D69" s="136"/>
      <c r="E69" s="136"/>
      <c r="F69" s="136"/>
    </row>
    <row r="70" spans="1:6" x14ac:dyDescent="0.2">
      <c r="A70" s="137" t="s">
        <v>133</v>
      </c>
      <c r="B70" s="141" t="s">
        <v>26</v>
      </c>
      <c r="C70" s="141" t="s">
        <v>26</v>
      </c>
      <c r="D70" s="141" t="s">
        <v>26</v>
      </c>
      <c r="E70" s="141" t="s">
        <v>26</v>
      </c>
      <c r="F70" s="139" t="s">
        <v>134</v>
      </c>
    </row>
    <row r="71" spans="1:6" x14ac:dyDescent="0.2">
      <c r="A71" s="137" t="s">
        <v>135</v>
      </c>
      <c r="B71" s="141" t="s">
        <v>26</v>
      </c>
      <c r="C71" s="141" t="s">
        <v>26</v>
      </c>
      <c r="D71" s="141" t="s">
        <v>26</v>
      </c>
      <c r="E71" s="141" t="s">
        <v>26</v>
      </c>
      <c r="F71" s="139"/>
    </row>
    <row r="72" spans="1:6" x14ac:dyDescent="0.2">
      <c r="A72" s="137" t="s">
        <v>136</v>
      </c>
      <c r="B72" s="141" t="s">
        <v>26</v>
      </c>
      <c r="C72" s="141" t="s">
        <v>26</v>
      </c>
      <c r="D72" s="141" t="s">
        <v>26</v>
      </c>
      <c r="E72" s="141" t="s">
        <v>26</v>
      </c>
      <c r="F72" s="139" t="s">
        <v>137</v>
      </c>
    </row>
    <row r="73" spans="1:6" x14ac:dyDescent="0.2">
      <c r="A73" s="137" t="s">
        <v>138</v>
      </c>
      <c r="B73" s="141" t="s">
        <v>26</v>
      </c>
      <c r="C73" s="141" t="s">
        <v>26</v>
      </c>
      <c r="D73" s="141" t="s">
        <v>26</v>
      </c>
      <c r="E73" s="141" t="s">
        <v>26</v>
      </c>
      <c r="F73" s="139"/>
    </row>
    <row r="74" spans="1:6" x14ac:dyDescent="0.2">
      <c r="A74" s="137" t="s">
        <v>139</v>
      </c>
      <c r="B74" s="140" t="s">
        <v>25</v>
      </c>
      <c r="C74" s="141" t="s">
        <v>26</v>
      </c>
      <c r="D74" s="141" t="s">
        <v>26</v>
      </c>
      <c r="E74" s="141" t="s">
        <v>26</v>
      </c>
      <c r="F74" s="139" t="s">
        <v>140</v>
      </c>
    </row>
    <row r="75" spans="1:6" x14ac:dyDescent="0.2">
      <c r="A75" s="137" t="s">
        <v>141</v>
      </c>
      <c r="B75" s="140" t="s">
        <v>25</v>
      </c>
      <c r="C75" s="141" t="s">
        <v>26</v>
      </c>
      <c r="D75" s="141" t="s">
        <v>26</v>
      </c>
      <c r="E75" s="141" t="s">
        <v>26</v>
      </c>
      <c r="F75" s="139"/>
    </row>
    <row r="76" spans="1:6" x14ac:dyDescent="0.2">
      <c r="A76" s="137" t="s">
        <v>142</v>
      </c>
      <c r="B76" s="141" t="s">
        <v>26</v>
      </c>
      <c r="C76" s="141" t="s">
        <v>26</v>
      </c>
      <c r="D76" s="141" t="s">
        <v>26</v>
      </c>
      <c r="E76" s="141" t="s">
        <v>26</v>
      </c>
      <c r="F76" s="139" t="s">
        <v>143</v>
      </c>
    </row>
    <row r="77" spans="1:6" x14ac:dyDescent="0.2">
      <c r="A77" s="137" t="s">
        <v>144</v>
      </c>
      <c r="B77" s="140" t="s">
        <v>25</v>
      </c>
      <c r="C77" s="140" t="s">
        <v>25</v>
      </c>
      <c r="D77" s="140" t="s">
        <v>25</v>
      </c>
      <c r="E77" s="141" t="s">
        <v>26</v>
      </c>
      <c r="F77" s="139" t="s">
        <v>145</v>
      </c>
    </row>
    <row r="78" spans="1:6" x14ac:dyDescent="0.2">
      <c r="A78" s="136" t="s">
        <v>146</v>
      </c>
      <c r="B78" s="136"/>
      <c r="C78" s="136"/>
      <c r="D78" s="136"/>
      <c r="E78" s="136"/>
      <c r="F78" s="136"/>
    </row>
    <row r="79" spans="1:6" x14ac:dyDescent="0.2">
      <c r="A79" s="137" t="s">
        <v>147</v>
      </c>
      <c r="B79" s="141" t="s">
        <v>26</v>
      </c>
      <c r="C79" s="141" t="s">
        <v>26</v>
      </c>
      <c r="D79" s="141" t="s">
        <v>26</v>
      </c>
      <c r="E79" s="141" t="s">
        <v>26</v>
      </c>
      <c r="F79" s="139" t="s">
        <v>148</v>
      </c>
    </row>
    <row r="80" spans="1:6" x14ac:dyDescent="0.2">
      <c r="A80" s="137" t="s">
        <v>149</v>
      </c>
      <c r="B80" s="140" t="s">
        <v>25</v>
      </c>
      <c r="C80" s="141" t="s">
        <v>26</v>
      </c>
      <c r="D80" s="141" t="s">
        <v>26</v>
      </c>
      <c r="E80" s="141" t="s">
        <v>26</v>
      </c>
      <c r="F80" s="139" t="s">
        <v>150</v>
      </c>
    </row>
    <row r="81" spans="1:6" x14ac:dyDescent="0.2">
      <c r="A81" s="137" t="s">
        <v>151</v>
      </c>
      <c r="B81" s="140" t="s">
        <v>25</v>
      </c>
      <c r="C81" s="140" t="s">
        <v>25</v>
      </c>
      <c r="D81" s="141" t="s">
        <v>26</v>
      </c>
      <c r="E81" s="141" t="s">
        <v>26</v>
      </c>
      <c r="F81" s="139"/>
    </row>
    <row r="82" spans="1:6" x14ac:dyDescent="0.2">
      <c r="A82" s="137" t="s">
        <v>152</v>
      </c>
      <c r="B82" s="141" t="s">
        <v>26</v>
      </c>
      <c r="C82" s="141" t="s">
        <v>26</v>
      </c>
      <c r="D82" s="141" t="s">
        <v>26</v>
      </c>
      <c r="E82" s="141" t="s">
        <v>26</v>
      </c>
      <c r="F82" s="139" t="s">
        <v>153</v>
      </c>
    </row>
    <row r="83" spans="1:6" x14ac:dyDescent="0.2">
      <c r="A83" s="137" t="s">
        <v>154</v>
      </c>
      <c r="B83" s="140" t="s">
        <v>25</v>
      </c>
      <c r="C83" s="141" t="s">
        <v>26</v>
      </c>
      <c r="D83" s="141" t="s">
        <v>26</v>
      </c>
      <c r="E83" s="141" t="s">
        <v>26</v>
      </c>
      <c r="F83" s="139"/>
    </row>
    <row r="84" spans="1:6" x14ac:dyDescent="0.2">
      <c r="A84" s="137" t="s">
        <v>155</v>
      </c>
      <c r="B84" s="140" t="s">
        <v>25</v>
      </c>
      <c r="C84" s="140" t="s">
        <v>25</v>
      </c>
      <c r="D84" s="140" t="s">
        <v>25</v>
      </c>
      <c r="E84" s="141" t="s">
        <v>26</v>
      </c>
      <c r="F84" s="139" t="s">
        <v>156</v>
      </c>
    </row>
    <row r="85" spans="1:6" x14ac:dyDescent="0.2">
      <c r="A85" s="136" t="s">
        <v>157</v>
      </c>
      <c r="B85" s="136"/>
      <c r="C85" s="136"/>
      <c r="D85" s="136"/>
      <c r="E85" s="136"/>
      <c r="F85" s="136"/>
    </row>
    <row r="86" spans="1:6" x14ac:dyDescent="0.2">
      <c r="A86" s="137" t="s">
        <v>158</v>
      </c>
      <c r="B86" s="141" t="s">
        <v>26</v>
      </c>
      <c r="C86" s="141" t="s">
        <v>26</v>
      </c>
      <c r="D86" s="141" t="s">
        <v>26</v>
      </c>
      <c r="E86" s="141" t="s">
        <v>26</v>
      </c>
      <c r="F86" s="139" t="s">
        <v>159</v>
      </c>
    </row>
    <row r="87" spans="1:6" x14ac:dyDescent="0.2">
      <c r="A87" s="137" t="s">
        <v>160</v>
      </c>
      <c r="B87" s="140" t="s">
        <v>25</v>
      </c>
      <c r="C87" s="141" t="s">
        <v>26</v>
      </c>
      <c r="D87" s="141" t="s">
        <v>26</v>
      </c>
      <c r="E87" s="141" t="s">
        <v>26</v>
      </c>
      <c r="F87" s="139" t="s">
        <v>161</v>
      </c>
    </row>
    <row r="88" spans="1:6" x14ac:dyDescent="0.2">
      <c r="A88" s="137" t="s">
        <v>162</v>
      </c>
      <c r="B88" s="140" t="s">
        <v>25</v>
      </c>
      <c r="C88" s="140" t="s">
        <v>25</v>
      </c>
      <c r="D88" s="141" t="s">
        <v>26</v>
      </c>
      <c r="E88" s="141" t="s">
        <v>26</v>
      </c>
      <c r="F88" s="139"/>
    </row>
    <row r="89" spans="1:6" x14ac:dyDescent="0.2">
      <c r="A89" s="144" t="s">
        <v>1186</v>
      </c>
      <c r="B89" s="140" t="s">
        <v>25</v>
      </c>
      <c r="C89" s="140" t="s">
        <v>25</v>
      </c>
      <c r="D89" s="140" t="s">
        <v>25</v>
      </c>
      <c r="E89" s="141" t="s">
        <v>26</v>
      </c>
      <c r="F89" s="139" t="s">
        <v>1187</v>
      </c>
    </row>
    <row r="90" spans="1:6" x14ac:dyDescent="0.2">
      <c r="A90" s="137" t="s">
        <v>163</v>
      </c>
      <c r="B90" s="140" t="s">
        <v>25</v>
      </c>
      <c r="C90" s="141" t="s">
        <v>26</v>
      </c>
      <c r="D90" s="141" t="s">
        <v>26</v>
      </c>
      <c r="E90" s="141" t="s">
        <v>26</v>
      </c>
      <c r="F90" s="139"/>
    </row>
    <row r="91" spans="1:6" x14ac:dyDescent="0.2">
      <c r="A91" s="137" t="s">
        <v>164</v>
      </c>
      <c r="B91" s="141" t="s">
        <v>26</v>
      </c>
      <c r="C91" s="141" t="s">
        <v>26</v>
      </c>
      <c r="D91" s="141" t="s">
        <v>26</v>
      </c>
      <c r="E91" s="141" t="s">
        <v>26</v>
      </c>
      <c r="F91" s="139" t="s">
        <v>165</v>
      </c>
    </row>
    <row r="92" spans="1:6" x14ac:dyDescent="0.2">
      <c r="A92" s="136" t="s">
        <v>166</v>
      </c>
      <c r="B92" s="136"/>
      <c r="C92" s="136"/>
      <c r="D92" s="136"/>
      <c r="E92" s="136"/>
      <c r="F92" s="136"/>
    </row>
    <row r="93" spans="1:6" x14ac:dyDescent="0.2">
      <c r="A93" s="137" t="s">
        <v>167</v>
      </c>
      <c r="B93" s="138" t="s">
        <v>45</v>
      </c>
      <c r="C93" s="138" t="s">
        <v>45</v>
      </c>
      <c r="D93" s="138" t="s">
        <v>45</v>
      </c>
      <c r="E93" s="138" t="s">
        <v>45</v>
      </c>
      <c r="F93" s="139" t="s">
        <v>168</v>
      </c>
    </row>
    <row r="94" spans="1:6" x14ac:dyDescent="0.2">
      <c r="A94" s="137" t="s">
        <v>169</v>
      </c>
      <c r="B94" s="143" t="s">
        <v>629</v>
      </c>
      <c r="C94" s="143" t="s">
        <v>629</v>
      </c>
      <c r="D94" s="138" t="s">
        <v>13</v>
      </c>
      <c r="E94" s="138" t="s">
        <v>13</v>
      </c>
      <c r="F94" s="139" t="s">
        <v>171</v>
      </c>
    </row>
    <row r="95" spans="1:6" x14ac:dyDescent="0.2">
      <c r="A95" s="137" t="s">
        <v>172</v>
      </c>
      <c r="B95" s="141" t="s">
        <v>26</v>
      </c>
      <c r="C95" s="141" t="s">
        <v>26</v>
      </c>
      <c r="D95" s="141" t="s">
        <v>26</v>
      </c>
      <c r="E95" s="141" t="s">
        <v>26</v>
      </c>
      <c r="F95" s="139"/>
    </row>
    <row r="96" spans="1:6" x14ac:dyDescent="0.2">
      <c r="A96" s="136" t="s">
        <v>173</v>
      </c>
      <c r="B96" s="136"/>
      <c r="C96" s="136"/>
      <c r="D96" s="136"/>
      <c r="E96" s="136"/>
      <c r="F96" s="136"/>
    </row>
    <row r="97" spans="1:6" x14ac:dyDescent="0.2">
      <c r="A97" s="137" t="s">
        <v>174</v>
      </c>
      <c r="B97" s="138" t="s">
        <v>175</v>
      </c>
      <c r="C97" s="138">
        <v>3</v>
      </c>
      <c r="D97" s="138">
        <v>3</v>
      </c>
      <c r="E97" s="138">
        <v>3</v>
      </c>
      <c r="F97" s="139" t="s">
        <v>176</v>
      </c>
    </row>
    <row r="98" spans="1:6" x14ac:dyDescent="0.2">
      <c r="A98" s="137" t="s">
        <v>177</v>
      </c>
      <c r="B98" s="140" t="s">
        <v>25</v>
      </c>
      <c r="C98" s="140" t="s">
        <v>25</v>
      </c>
      <c r="D98" s="141" t="s">
        <v>26</v>
      </c>
      <c r="E98" s="141" t="s">
        <v>26</v>
      </c>
      <c r="F98" s="139" t="s">
        <v>178</v>
      </c>
    </row>
    <row r="99" spans="1:6" x14ac:dyDescent="0.2">
      <c r="A99" s="137" t="s">
        <v>179</v>
      </c>
      <c r="B99" s="140" t="s">
        <v>25</v>
      </c>
      <c r="C99" s="140" t="s">
        <v>25</v>
      </c>
      <c r="D99" s="141" t="s">
        <v>26</v>
      </c>
      <c r="E99" s="141" t="s">
        <v>26</v>
      </c>
      <c r="F99" s="139"/>
    </row>
    <row r="100" spans="1:6" x14ac:dyDescent="0.2">
      <c r="A100" s="136" t="s">
        <v>180</v>
      </c>
      <c r="B100" s="136"/>
      <c r="C100" s="136"/>
      <c r="D100" s="136"/>
      <c r="E100" s="136"/>
      <c r="F100" s="136"/>
    </row>
    <row r="101" spans="1:6" x14ac:dyDescent="0.2">
      <c r="A101" s="144" t="s">
        <v>181</v>
      </c>
      <c r="B101" s="138" t="s">
        <v>45</v>
      </c>
      <c r="C101" s="138" t="s">
        <v>45</v>
      </c>
      <c r="D101" s="138" t="s">
        <v>45</v>
      </c>
      <c r="E101" s="138" t="s">
        <v>45</v>
      </c>
      <c r="F101" s="139"/>
    </row>
    <row r="102" spans="1:6" x14ac:dyDescent="0.2">
      <c r="A102" s="137" t="s">
        <v>182</v>
      </c>
      <c r="B102" s="140" t="s">
        <v>25</v>
      </c>
      <c r="C102" s="141" t="s">
        <v>26</v>
      </c>
      <c r="D102" s="141" t="s">
        <v>26</v>
      </c>
      <c r="E102" s="141" t="s">
        <v>26</v>
      </c>
      <c r="F102" s="139" t="s">
        <v>183</v>
      </c>
    </row>
    <row r="103" spans="1:6" x14ac:dyDescent="0.2">
      <c r="A103" s="136" t="s">
        <v>184</v>
      </c>
      <c r="B103" s="136"/>
      <c r="C103" s="136"/>
      <c r="D103" s="136"/>
      <c r="E103" s="136"/>
      <c r="F103" s="136"/>
    </row>
    <row r="104" spans="1:6" x14ac:dyDescent="0.2">
      <c r="A104" s="137" t="s">
        <v>185</v>
      </c>
      <c r="B104" s="140" t="s">
        <v>25</v>
      </c>
      <c r="C104" s="140" t="s">
        <v>25</v>
      </c>
      <c r="D104" s="140" t="s">
        <v>25</v>
      </c>
      <c r="E104" s="141" t="s">
        <v>26</v>
      </c>
      <c r="F104" s="139" t="s">
        <v>186</v>
      </c>
    </row>
    <row r="105" spans="1:6" x14ac:dyDescent="0.2">
      <c r="A105" s="137" t="s">
        <v>187</v>
      </c>
      <c r="B105" s="140" t="s">
        <v>25</v>
      </c>
      <c r="C105" s="140" t="s">
        <v>25</v>
      </c>
      <c r="D105" s="140" t="s">
        <v>25</v>
      </c>
      <c r="E105" s="141" t="s">
        <v>26</v>
      </c>
      <c r="F105" s="139"/>
    </row>
    <row r="106" spans="1:6" x14ac:dyDescent="0.2">
      <c r="A106" s="137" t="s">
        <v>188</v>
      </c>
      <c r="B106" s="140" t="s">
        <v>25</v>
      </c>
      <c r="C106" s="140" t="s">
        <v>25</v>
      </c>
      <c r="D106" s="138" t="s">
        <v>189</v>
      </c>
      <c r="E106" s="141" t="s">
        <v>26</v>
      </c>
      <c r="F106" s="139" t="s">
        <v>190</v>
      </c>
    </row>
    <row r="107" spans="1:6" x14ac:dyDescent="0.2">
      <c r="A107" s="137" t="s">
        <v>191</v>
      </c>
      <c r="B107" s="140" t="s">
        <v>25</v>
      </c>
      <c r="C107" s="140" t="s">
        <v>25</v>
      </c>
      <c r="D107" s="140" t="s">
        <v>25</v>
      </c>
      <c r="E107" s="141" t="s">
        <v>26</v>
      </c>
      <c r="F107" s="139"/>
    </row>
    <row r="108" spans="1:6" x14ac:dyDescent="0.2">
      <c r="A108" s="137" t="s">
        <v>192</v>
      </c>
      <c r="B108" s="140" t="s">
        <v>25</v>
      </c>
      <c r="C108" s="140" t="s">
        <v>25</v>
      </c>
      <c r="D108" s="140" t="s">
        <v>25</v>
      </c>
      <c r="E108" s="141" t="s">
        <v>26</v>
      </c>
      <c r="F108" s="139" t="s">
        <v>193</v>
      </c>
    </row>
    <row r="109" spans="1:6" x14ac:dyDescent="0.2">
      <c r="A109" s="136" t="s">
        <v>194</v>
      </c>
      <c r="B109" s="136"/>
      <c r="C109" s="136"/>
      <c r="D109" s="136"/>
      <c r="E109" s="136"/>
      <c r="F109" s="136"/>
    </row>
    <row r="110" spans="1:6" x14ac:dyDescent="0.2">
      <c r="A110" s="137" t="s">
        <v>195</v>
      </c>
      <c r="B110" s="140" t="s">
        <v>25</v>
      </c>
      <c r="C110" s="140" t="s">
        <v>25</v>
      </c>
      <c r="D110" s="140" t="s">
        <v>25</v>
      </c>
      <c r="E110" s="141" t="s">
        <v>26</v>
      </c>
      <c r="F110" s="139"/>
    </row>
    <row r="111" spans="1:6" x14ac:dyDescent="0.2">
      <c r="A111" s="137" t="s">
        <v>196</v>
      </c>
      <c r="B111" s="140" t="s">
        <v>25</v>
      </c>
      <c r="C111" s="140" t="s">
        <v>25</v>
      </c>
      <c r="D111" s="140" t="s">
        <v>25</v>
      </c>
      <c r="E111" s="141" t="s">
        <v>26</v>
      </c>
      <c r="F111" s="139"/>
    </row>
    <row r="112" spans="1:6" x14ac:dyDescent="0.2">
      <c r="A112" s="137" t="s">
        <v>197</v>
      </c>
      <c r="B112" s="140" t="s">
        <v>25</v>
      </c>
      <c r="C112" s="140" t="s">
        <v>25</v>
      </c>
      <c r="D112" s="140" t="s">
        <v>25</v>
      </c>
      <c r="E112" s="141" t="s">
        <v>26</v>
      </c>
      <c r="F112" s="139"/>
    </row>
    <row r="113" spans="1:6" x14ac:dyDescent="0.2">
      <c r="A113" s="137" t="s">
        <v>198</v>
      </c>
      <c r="B113" s="140" t="s">
        <v>25</v>
      </c>
      <c r="C113" s="140" t="s">
        <v>25</v>
      </c>
      <c r="D113" s="140" t="s">
        <v>25</v>
      </c>
      <c r="E113" s="141" t="s">
        <v>26</v>
      </c>
      <c r="F113" s="139"/>
    </row>
    <row r="114" spans="1:6" x14ac:dyDescent="0.2">
      <c r="A114" s="137" t="s">
        <v>199</v>
      </c>
      <c r="B114" s="140" t="s">
        <v>25</v>
      </c>
      <c r="C114" s="140" t="s">
        <v>25</v>
      </c>
      <c r="D114" s="140" t="s">
        <v>25</v>
      </c>
      <c r="E114" s="141" t="s">
        <v>26</v>
      </c>
      <c r="F114" s="139"/>
    </row>
    <row r="115" spans="1:6" x14ac:dyDescent="0.2">
      <c r="A115" s="137" t="s">
        <v>200</v>
      </c>
      <c r="B115" s="140" t="s">
        <v>25</v>
      </c>
      <c r="C115" s="140" t="s">
        <v>25</v>
      </c>
      <c r="D115" s="140" t="s">
        <v>25</v>
      </c>
      <c r="E115" s="141" t="s">
        <v>26</v>
      </c>
      <c r="F115" s="139"/>
    </row>
    <row r="116" spans="1:6" x14ac:dyDescent="0.2">
      <c r="A116" s="137" t="s">
        <v>201</v>
      </c>
      <c r="B116" s="140" t="s">
        <v>25</v>
      </c>
      <c r="C116" s="140" t="s">
        <v>25</v>
      </c>
      <c r="D116" s="140" t="s">
        <v>25</v>
      </c>
      <c r="E116" s="141" t="s">
        <v>26</v>
      </c>
      <c r="F116" s="139"/>
    </row>
    <row r="117" spans="1:6" x14ac:dyDescent="0.2">
      <c r="A117" s="137" t="s">
        <v>202</v>
      </c>
      <c r="B117" s="140" t="s">
        <v>25</v>
      </c>
      <c r="C117" s="140" t="s">
        <v>25</v>
      </c>
      <c r="D117" s="140" t="s">
        <v>25</v>
      </c>
      <c r="E117" s="141" t="s">
        <v>26</v>
      </c>
      <c r="F117" s="139"/>
    </row>
    <row r="118" spans="1:6" x14ac:dyDescent="0.2">
      <c r="A118" s="136" t="s">
        <v>203</v>
      </c>
      <c r="B118" s="136"/>
      <c r="C118" s="136"/>
      <c r="D118" s="136"/>
      <c r="E118" s="136"/>
      <c r="F118" s="136"/>
    </row>
    <row r="119" spans="1:6" x14ac:dyDescent="0.2">
      <c r="A119" s="137" t="s">
        <v>204</v>
      </c>
      <c r="B119" s="141" t="s">
        <v>26</v>
      </c>
      <c r="C119" s="141" t="s">
        <v>26</v>
      </c>
      <c r="D119" s="141" t="s">
        <v>26</v>
      </c>
      <c r="E119" s="141" t="s">
        <v>26</v>
      </c>
      <c r="F119" s="139" t="s">
        <v>205</v>
      </c>
    </row>
    <row r="120" spans="1:6" x14ac:dyDescent="0.2">
      <c r="A120" s="137" t="s">
        <v>206</v>
      </c>
      <c r="B120" s="141" t="s">
        <v>26</v>
      </c>
      <c r="C120" s="141" t="s">
        <v>26</v>
      </c>
      <c r="D120" s="141" t="s">
        <v>26</v>
      </c>
      <c r="E120" s="141" t="s">
        <v>26</v>
      </c>
      <c r="F120" s="139"/>
    </row>
    <row r="121" spans="1:6" x14ac:dyDescent="0.2">
      <c r="A121" s="137" t="s">
        <v>207</v>
      </c>
      <c r="B121" s="140" t="s">
        <v>25</v>
      </c>
      <c r="C121" s="141" t="s">
        <v>26</v>
      </c>
      <c r="D121" s="141" t="s">
        <v>26</v>
      </c>
      <c r="E121" s="141" t="s">
        <v>26</v>
      </c>
      <c r="F121" s="139"/>
    </row>
    <row r="122" spans="1:6" x14ac:dyDescent="0.2">
      <c r="A122" s="137" t="s">
        <v>208</v>
      </c>
      <c r="B122" s="140" t="s">
        <v>25</v>
      </c>
      <c r="C122" s="140" t="s">
        <v>25</v>
      </c>
      <c r="D122" s="140" t="s">
        <v>25</v>
      </c>
      <c r="E122" s="141" t="s">
        <v>26</v>
      </c>
      <c r="F122" s="139"/>
    </row>
    <row r="124" spans="1:6" x14ac:dyDescent="0.2">
      <c r="A124" s="142" t="s">
        <v>209</v>
      </c>
    </row>
    <row r="125" spans="1:6" x14ac:dyDescent="0.2">
      <c r="A125" s="134" t="s">
        <v>1184</v>
      </c>
    </row>
    <row r="126" spans="1:6" x14ac:dyDescent="0.2">
      <c r="A126" s="134" t="s">
        <v>210</v>
      </c>
    </row>
    <row r="127" spans="1:6" x14ac:dyDescent="0.2">
      <c r="A127" s="134" t="s">
        <v>211</v>
      </c>
    </row>
    <row r="128" spans="1:6" x14ac:dyDescent="0.2">
      <c r="A128" s="134" t="s">
        <v>212</v>
      </c>
    </row>
    <row r="129" spans="1:1" x14ac:dyDescent="0.2">
      <c r="A129" s="134" t="s">
        <v>213</v>
      </c>
    </row>
    <row r="130" spans="1:1" x14ac:dyDescent="0.2">
      <c r="A130" s="134" t="s">
        <v>1185</v>
      </c>
    </row>
    <row r="131" spans="1:1" x14ac:dyDescent="0.2">
      <c r="A131" s="134" t="s">
        <v>214</v>
      </c>
    </row>
    <row r="132" spans="1:1" x14ac:dyDescent="0.2">
      <c r="A132" s="134" t="s">
        <v>215</v>
      </c>
    </row>
    <row r="133" spans="1:1" x14ac:dyDescent="0.2">
      <c r="A133" s="134" t="s">
        <v>216</v>
      </c>
    </row>
    <row r="134" spans="1:1" x14ac:dyDescent="0.2">
      <c r="A134" s="134" t="s">
        <v>217</v>
      </c>
    </row>
  </sheetData>
  <autoFilter ref="A5:F123" xr:uid="{00000000-0009-0000-0000-00000B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23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baseColWidth="10" defaultColWidth="8.83203125" defaultRowHeight="15" x14ac:dyDescent="0.2"/>
  <cols>
    <col min="1" max="1" width="34" customWidth="1"/>
    <col min="2" max="2" width="18" customWidth="1"/>
    <col min="3" max="3" width="13" customWidth="1"/>
    <col min="4" max="4" width="17" customWidth="1"/>
    <col min="5" max="6" width="16" customWidth="1"/>
    <col min="7" max="7" width="13" customWidth="1"/>
    <col min="8" max="8" width="17" customWidth="1"/>
    <col min="9" max="10" width="16" customWidth="1"/>
    <col min="11" max="11" width="13" customWidth="1"/>
    <col min="12" max="12" width="17" customWidth="1"/>
    <col min="13" max="14" width="16" customWidth="1"/>
    <col min="15" max="15" width="13" customWidth="1"/>
    <col min="16" max="16" width="17" customWidth="1"/>
    <col min="17" max="18" width="16" customWidth="1"/>
    <col min="19" max="19" width="13" customWidth="1"/>
    <col min="20" max="20" width="17" customWidth="1"/>
    <col min="21" max="22" width="16" customWidth="1"/>
    <col min="23" max="23" width="13" customWidth="1"/>
    <col min="24" max="24" width="17" customWidth="1"/>
    <col min="25" max="26" width="16" customWidth="1"/>
    <col min="27" max="27" width="13" customWidth="1"/>
    <col min="28" max="28" width="17" customWidth="1"/>
    <col min="29" max="30" width="16" customWidth="1"/>
    <col min="31" max="31" width="13" customWidth="1"/>
    <col min="32" max="32" width="17" customWidth="1"/>
    <col min="33" max="34" width="16" customWidth="1"/>
    <col min="35" max="35" width="13" customWidth="1"/>
    <col min="36" max="36" width="17" customWidth="1"/>
    <col min="37" max="38" width="16" customWidth="1"/>
    <col min="39" max="39" width="13" customWidth="1"/>
    <col min="40" max="40" width="17" customWidth="1"/>
    <col min="41" max="42" width="16" customWidth="1"/>
    <col min="43" max="43" width="13" customWidth="1"/>
    <col min="44" max="44" width="17" customWidth="1"/>
    <col min="45" max="46" width="16" customWidth="1"/>
  </cols>
  <sheetData>
    <row r="1" spans="1:46" ht="27.75" customHeight="1" x14ac:dyDescent="0.2">
      <c r="A1" s="59" t="s">
        <v>222</v>
      </c>
      <c r="B1" s="60" t="s">
        <v>221</v>
      </c>
      <c r="C1" s="61" t="s">
        <v>718</v>
      </c>
      <c r="D1" s="148" t="s">
        <v>719</v>
      </c>
      <c r="E1" s="149"/>
      <c r="F1" s="150"/>
      <c r="G1" s="61" t="s">
        <v>718</v>
      </c>
      <c r="H1" s="148" t="s">
        <v>720</v>
      </c>
      <c r="I1" s="149"/>
      <c r="J1" s="150"/>
      <c r="K1" s="61" t="s">
        <v>718</v>
      </c>
      <c r="L1" s="148" t="s">
        <v>721</v>
      </c>
      <c r="M1" s="149"/>
      <c r="N1" s="150"/>
      <c r="O1" s="61" t="s">
        <v>718</v>
      </c>
      <c r="P1" s="148" t="s">
        <v>722</v>
      </c>
      <c r="Q1" s="149"/>
      <c r="R1" s="150"/>
      <c r="S1" s="61" t="s">
        <v>718</v>
      </c>
      <c r="T1" s="148" t="s">
        <v>723</v>
      </c>
      <c r="U1" s="149"/>
      <c r="V1" s="150"/>
      <c r="W1" s="61" t="s">
        <v>718</v>
      </c>
      <c r="X1" s="148" t="s">
        <v>724</v>
      </c>
      <c r="Y1" s="149"/>
      <c r="Z1" s="150"/>
      <c r="AA1" s="61" t="s">
        <v>718</v>
      </c>
      <c r="AB1" s="148" t="s">
        <v>725</v>
      </c>
      <c r="AC1" s="149"/>
      <c r="AD1" s="150"/>
      <c r="AE1" s="61" t="s">
        <v>718</v>
      </c>
      <c r="AF1" s="148" t="s">
        <v>726</v>
      </c>
      <c r="AG1" s="149"/>
      <c r="AH1" s="150"/>
      <c r="AI1" s="61" t="s">
        <v>718</v>
      </c>
      <c r="AJ1" s="148" t="s">
        <v>727</v>
      </c>
      <c r="AK1" s="149"/>
      <c r="AL1" s="150"/>
      <c r="AM1" s="61" t="s">
        <v>718</v>
      </c>
      <c r="AN1" s="148" t="s">
        <v>728</v>
      </c>
      <c r="AO1" s="149"/>
      <c r="AP1" s="150"/>
      <c r="AQ1" s="61" t="s">
        <v>718</v>
      </c>
      <c r="AR1" s="148" t="s">
        <v>729</v>
      </c>
      <c r="AS1" s="149"/>
      <c r="AT1" s="150"/>
    </row>
    <row r="2" spans="1:46" ht="31.5" customHeight="1" x14ac:dyDescent="0.2">
      <c r="A2" s="62" t="s">
        <v>730</v>
      </c>
      <c r="B2" s="62" t="s">
        <v>221</v>
      </c>
      <c r="C2" s="63" t="s">
        <v>731</v>
      </c>
      <c r="D2" s="64" t="s">
        <v>732</v>
      </c>
      <c r="E2" s="65" t="s">
        <v>559</v>
      </c>
      <c r="F2" s="66" t="s">
        <v>560</v>
      </c>
      <c r="G2" s="63" t="s">
        <v>731</v>
      </c>
      <c r="H2" s="64" t="s">
        <v>732</v>
      </c>
      <c r="I2" s="65" t="s">
        <v>559</v>
      </c>
      <c r="J2" s="66" t="s">
        <v>560</v>
      </c>
      <c r="K2" s="63" t="s">
        <v>731</v>
      </c>
      <c r="L2" s="64" t="s">
        <v>732</v>
      </c>
      <c r="M2" s="65" t="s">
        <v>559</v>
      </c>
      <c r="N2" s="66" t="s">
        <v>560</v>
      </c>
      <c r="O2" s="63" t="s">
        <v>731</v>
      </c>
      <c r="P2" s="64" t="s">
        <v>732</v>
      </c>
      <c r="Q2" s="65" t="s">
        <v>559</v>
      </c>
      <c r="R2" s="66" t="s">
        <v>560</v>
      </c>
      <c r="S2" s="63" t="s">
        <v>731</v>
      </c>
      <c r="T2" s="64" t="s">
        <v>732</v>
      </c>
      <c r="U2" s="65" t="s">
        <v>559</v>
      </c>
      <c r="V2" s="66" t="s">
        <v>560</v>
      </c>
      <c r="W2" s="63" t="s">
        <v>731</v>
      </c>
      <c r="X2" s="64" t="s">
        <v>732</v>
      </c>
      <c r="Y2" s="65" t="s">
        <v>559</v>
      </c>
      <c r="Z2" s="66" t="s">
        <v>560</v>
      </c>
      <c r="AA2" s="63" t="s">
        <v>731</v>
      </c>
      <c r="AB2" s="64" t="s">
        <v>732</v>
      </c>
      <c r="AC2" s="65" t="s">
        <v>559</v>
      </c>
      <c r="AD2" s="66" t="s">
        <v>560</v>
      </c>
      <c r="AE2" s="63" t="s">
        <v>731</v>
      </c>
      <c r="AF2" s="64" t="s">
        <v>732</v>
      </c>
      <c r="AG2" s="65" t="s">
        <v>559</v>
      </c>
      <c r="AH2" s="66" t="s">
        <v>560</v>
      </c>
      <c r="AI2" s="63" t="s">
        <v>731</v>
      </c>
      <c r="AJ2" s="64" t="s">
        <v>732</v>
      </c>
      <c r="AK2" s="65" t="s">
        <v>559</v>
      </c>
      <c r="AL2" s="66" t="s">
        <v>560</v>
      </c>
      <c r="AM2" s="63" t="s">
        <v>731</v>
      </c>
      <c r="AN2" s="64" t="s">
        <v>732</v>
      </c>
      <c r="AO2" s="65" t="s">
        <v>559</v>
      </c>
      <c r="AP2" s="66" t="s">
        <v>560</v>
      </c>
      <c r="AQ2" s="63" t="s">
        <v>731</v>
      </c>
      <c r="AR2" s="64" t="s">
        <v>732</v>
      </c>
      <c r="AS2" s="65" t="s">
        <v>559</v>
      </c>
      <c r="AT2" s="66" t="s">
        <v>560</v>
      </c>
    </row>
    <row r="3" spans="1:46" ht="21.75" customHeight="1" x14ac:dyDescent="0.2">
      <c r="A3" s="67" t="s">
        <v>733</v>
      </c>
      <c r="B3" s="68" t="s">
        <v>225</v>
      </c>
      <c r="C3" s="69" t="s">
        <v>10</v>
      </c>
      <c r="D3" s="70" t="s">
        <v>734</v>
      </c>
      <c r="E3" s="70" t="s">
        <v>735</v>
      </c>
      <c r="F3" s="70" t="s">
        <v>736</v>
      </c>
      <c r="G3" s="69" t="s">
        <v>10</v>
      </c>
      <c r="H3" s="70" t="s">
        <v>737</v>
      </c>
      <c r="I3" s="70" t="s">
        <v>738</v>
      </c>
      <c r="J3" s="70" t="s">
        <v>739</v>
      </c>
      <c r="K3" s="69" t="s">
        <v>10</v>
      </c>
      <c r="L3" s="70" t="s">
        <v>734</v>
      </c>
      <c r="M3" s="70" t="s">
        <v>740</v>
      </c>
      <c r="N3" s="70" t="s">
        <v>741</v>
      </c>
      <c r="O3" s="69" t="s">
        <v>10</v>
      </c>
      <c r="P3" s="70" t="s">
        <v>737</v>
      </c>
      <c r="Q3" s="70" t="s">
        <v>738</v>
      </c>
      <c r="R3" s="70" t="s">
        <v>739</v>
      </c>
      <c r="S3" s="69" t="s">
        <v>10</v>
      </c>
      <c r="T3" s="70" t="s">
        <v>742</v>
      </c>
      <c r="U3" s="70" t="s">
        <v>743</v>
      </c>
      <c r="V3" s="70" t="s">
        <v>744</v>
      </c>
      <c r="W3" s="69" t="s">
        <v>10</v>
      </c>
      <c r="X3" s="70" t="s">
        <v>745</v>
      </c>
      <c r="Y3" s="70" t="s">
        <v>741</v>
      </c>
      <c r="Z3" s="70" t="s">
        <v>746</v>
      </c>
      <c r="AA3" s="69" t="s">
        <v>10</v>
      </c>
      <c r="AB3" s="70" t="s">
        <v>745</v>
      </c>
      <c r="AC3" s="70" t="s">
        <v>741</v>
      </c>
      <c r="AD3" s="70" t="s">
        <v>746</v>
      </c>
      <c r="AE3" s="69" t="s">
        <v>10</v>
      </c>
      <c r="AF3" s="70" t="s">
        <v>742</v>
      </c>
      <c r="AG3" s="70" t="s">
        <v>743</v>
      </c>
      <c r="AH3" s="70" t="s">
        <v>744</v>
      </c>
      <c r="AI3" s="69" t="s">
        <v>10</v>
      </c>
      <c r="AJ3" s="70" t="s">
        <v>745</v>
      </c>
      <c r="AK3" s="70" t="s">
        <v>736</v>
      </c>
      <c r="AL3" s="70" t="s">
        <v>747</v>
      </c>
      <c r="AM3" s="69" t="s">
        <v>10</v>
      </c>
      <c r="AN3" s="70" t="s">
        <v>748</v>
      </c>
      <c r="AO3" s="70" t="s">
        <v>737</v>
      </c>
      <c r="AP3" s="70" t="s">
        <v>735</v>
      </c>
      <c r="AQ3" s="69" t="s">
        <v>10</v>
      </c>
      <c r="AR3" s="70" t="s">
        <v>749</v>
      </c>
      <c r="AS3" s="70" t="s">
        <v>750</v>
      </c>
      <c r="AT3" s="70" t="s">
        <v>751</v>
      </c>
    </row>
    <row r="4" spans="1:46" ht="21.75" customHeight="1" x14ac:dyDescent="0.2">
      <c r="A4" s="71" t="s">
        <v>752</v>
      </c>
      <c r="B4" s="68" t="s">
        <v>225</v>
      </c>
      <c r="C4" s="69" t="s">
        <v>753</v>
      </c>
      <c r="D4" s="72" t="s">
        <v>753</v>
      </c>
      <c r="E4" s="72" t="s">
        <v>753</v>
      </c>
      <c r="F4" s="72" t="s">
        <v>753</v>
      </c>
      <c r="G4" s="69" t="s">
        <v>753</v>
      </c>
      <c r="H4" s="72" t="s">
        <v>753</v>
      </c>
      <c r="I4" s="72" t="s">
        <v>753</v>
      </c>
      <c r="J4" s="72" t="s">
        <v>753</v>
      </c>
      <c r="K4" s="69" t="s">
        <v>753</v>
      </c>
      <c r="L4" s="72" t="s">
        <v>753</v>
      </c>
      <c r="M4" s="72" t="s">
        <v>753</v>
      </c>
      <c r="N4" s="72" t="s">
        <v>753</v>
      </c>
      <c r="O4" s="69" t="s">
        <v>753</v>
      </c>
      <c r="P4" s="72" t="s">
        <v>753</v>
      </c>
      <c r="Q4" s="72" t="s">
        <v>753</v>
      </c>
      <c r="R4" s="72" t="s">
        <v>753</v>
      </c>
      <c r="S4" s="69" t="s">
        <v>753</v>
      </c>
      <c r="T4" s="72" t="s">
        <v>753</v>
      </c>
      <c r="U4" s="72" t="s">
        <v>753</v>
      </c>
      <c r="V4" s="72" t="s">
        <v>753</v>
      </c>
      <c r="W4" s="69" t="s">
        <v>753</v>
      </c>
      <c r="X4" s="72" t="s">
        <v>753</v>
      </c>
      <c r="Y4" s="72" t="s">
        <v>753</v>
      </c>
      <c r="Z4" s="72" t="s">
        <v>753</v>
      </c>
      <c r="AA4" s="69" t="s">
        <v>753</v>
      </c>
      <c r="AB4" s="72" t="s">
        <v>753</v>
      </c>
      <c r="AC4" s="72" t="s">
        <v>753</v>
      </c>
      <c r="AD4" s="72" t="s">
        <v>753</v>
      </c>
      <c r="AE4" s="69" t="s">
        <v>753</v>
      </c>
      <c r="AF4" s="72" t="s">
        <v>753</v>
      </c>
      <c r="AG4" s="72" t="s">
        <v>753</v>
      </c>
      <c r="AH4" s="72" t="s">
        <v>753</v>
      </c>
      <c r="AI4" s="69" t="s">
        <v>753</v>
      </c>
      <c r="AJ4" s="72" t="s">
        <v>753</v>
      </c>
      <c r="AK4" s="72" t="s">
        <v>753</v>
      </c>
      <c r="AL4" s="72" t="s">
        <v>753</v>
      </c>
      <c r="AM4" s="69" t="s">
        <v>753</v>
      </c>
      <c r="AN4" s="72" t="s">
        <v>753</v>
      </c>
      <c r="AO4" s="72" t="s">
        <v>753</v>
      </c>
      <c r="AP4" s="72" t="s">
        <v>753</v>
      </c>
      <c r="AQ4" s="69" t="s">
        <v>753</v>
      </c>
      <c r="AR4" s="72" t="s">
        <v>753</v>
      </c>
      <c r="AS4" s="72" t="s">
        <v>753</v>
      </c>
      <c r="AT4" s="72" t="s">
        <v>753</v>
      </c>
    </row>
    <row r="5" spans="1:46" ht="21.75" customHeight="1" x14ac:dyDescent="0.2">
      <c r="A5" s="67" t="s">
        <v>754</v>
      </c>
      <c r="B5" s="68" t="s">
        <v>597</v>
      </c>
      <c r="C5" s="69" t="s">
        <v>755</v>
      </c>
      <c r="D5" s="70" t="s">
        <v>599</v>
      </c>
      <c r="E5" s="70" t="s">
        <v>600</v>
      </c>
      <c r="F5" s="70" t="s">
        <v>756</v>
      </c>
      <c r="G5" s="69" t="s">
        <v>757</v>
      </c>
      <c r="H5" s="70" t="s">
        <v>758</v>
      </c>
      <c r="I5" s="70" t="s">
        <v>759</v>
      </c>
      <c r="J5" s="70" t="s">
        <v>760</v>
      </c>
      <c r="K5" s="69" t="s">
        <v>645</v>
      </c>
      <c r="L5" s="70" t="s">
        <v>761</v>
      </c>
      <c r="M5" s="70" t="s">
        <v>762</v>
      </c>
      <c r="N5" s="70" t="s">
        <v>763</v>
      </c>
      <c r="O5" s="69" t="s">
        <v>645</v>
      </c>
      <c r="P5" s="70" t="s">
        <v>764</v>
      </c>
      <c r="Q5" s="70" t="s">
        <v>765</v>
      </c>
      <c r="R5" s="70" t="s">
        <v>766</v>
      </c>
      <c r="S5" s="69" t="s">
        <v>761</v>
      </c>
      <c r="T5" s="70" t="s">
        <v>767</v>
      </c>
      <c r="U5" s="70" t="s">
        <v>768</v>
      </c>
      <c r="V5" s="70" t="s">
        <v>769</v>
      </c>
      <c r="W5" s="69" t="s">
        <v>770</v>
      </c>
      <c r="X5" s="70" t="s">
        <v>766</v>
      </c>
      <c r="Y5" s="70" t="s">
        <v>756</v>
      </c>
      <c r="Z5" s="70" t="s">
        <v>771</v>
      </c>
      <c r="AA5" s="69" t="s">
        <v>770</v>
      </c>
      <c r="AB5" s="70" t="s">
        <v>766</v>
      </c>
      <c r="AC5" s="70" t="s">
        <v>756</v>
      </c>
      <c r="AD5" s="70" t="s">
        <v>771</v>
      </c>
      <c r="AE5" s="69" t="s">
        <v>761</v>
      </c>
      <c r="AF5" s="70" t="s">
        <v>767</v>
      </c>
      <c r="AG5" s="70" t="s">
        <v>768</v>
      </c>
      <c r="AH5" s="70" t="s">
        <v>769</v>
      </c>
      <c r="AI5" s="69" t="s">
        <v>763</v>
      </c>
      <c r="AJ5" s="70" t="s">
        <v>759</v>
      </c>
      <c r="AK5" s="70" t="s">
        <v>760</v>
      </c>
      <c r="AL5" s="70" t="s">
        <v>772</v>
      </c>
      <c r="AM5" s="69" t="s">
        <v>765</v>
      </c>
      <c r="AN5" s="70" t="s">
        <v>758</v>
      </c>
      <c r="AO5" s="70" t="s">
        <v>759</v>
      </c>
      <c r="AP5" s="70" t="s">
        <v>760</v>
      </c>
      <c r="AQ5" s="69" t="s">
        <v>773</v>
      </c>
      <c r="AR5" s="70" t="s">
        <v>774</v>
      </c>
      <c r="AS5" s="70" t="s">
        <v>774</v>
      </c>
      <c r="AT5" s="70" t="s">
        <v>774</v>
      </c>
    </row>
    <row r="6" spans="1:46" ht="21.75" customHeight="1" x14ac:dyDescent="0.2">
      <c r="A6" s="71" t="s">
        <v>775</v>
      </c>
      <c r="B6" s="68" t="s">
        <v>597</v>
      </c>
      <c r="C6" s="69" t="s">
        <v>39</v>
      </c>
      <c r="D6" s="72" t="s">
        <v>39</v>
      </c>
      <c r="E6" s="72" t="s">
        <v>589</v>
      </c>
      <c r="F6" s="72" t="s">
        <v>590</v>
      </c>
      <c r="G6" s="69" t="s">
        <v>39</v>
      </c>
      <c r="H6" s="72" t="s">
        <v>39</v>
      </c>
      <c r="I6" s="72" t="s">
        <v>589</v>
      </c>
      <c r="J6" s="72" t="s">
        <v>590</v>
      </c>
      <c r="K6" s="69" t="s">
        <v>39</v>
      </c>
      <c r="L6" s="72" t="s">
        <v>39</v>
      </c>
      <c r="M6" s="72" t="s">
        <v>589</v>
      </c>
      <c r="N6" s="72" t="s">
        <v>590</v>
      </c>
      <c r="O6" s="69" t="s">
        <v>39</v>
      </c>
      <c r="P6" s="72" t="s">
        <v>39</v>
      </c>
      <c r="Q6" s="72" t="s">
        <v>589</v>
      </c>
      <c r="R6" s="72" t="s">
        <v>590</v>
      </c>
      <c r="S6" s="69" t="s">
        <v>39</v>
      </c>
      <c r="T6" s="72" t="s">
        <v>39</v>
      </c>
      <c r="U6" s="72" t="s">
        <v>589</v>
      </c>
      <c r="V6" s="72" t="s">
        <v>590</v>
      </c>
      <c r="W6" s="69" t="s">
        <v>39</v>
      </c>
      <c r="X6" s="72" t="s">
        <v>39</v>
      </c>
      <c r="Y6" s="72" t="s">
        <v>589</v>
      </c>
      <c r="Z6" s="72" t="s">
        <v>590</v>
      </c>
      <c r="AA6" s="69" t="s">
        <v>39</v>
      </c>
      <c r="AB6" s="72" t="s">
        <v>39</v>
      </c>
      <c r="AC6" s="72" t="s">
        <v>589</v>
      </c>
      <c r="AD6" s="72" t="s">
        <v>590</v>
      </c>
      <c r="AE6" s="69" t="s">
        <v>39</v>
      </c>
      <c r="AF6" s="72" t="s">
        <v>39</v>
      </c>
      <c r="AG6" s="72" t="s">
        <v>589</v>
      </c>
      <c r="AH6" s="72" t="s">
        <v>590</v>
      </c>
      <c r="AI6" s="69" t="s">
        <v>39</v>
      </c>
      <c r="AJ6" s="72" t="s">
        <v>39</v>
      </c>
      <c r="AK6" s="72" t="s">
        <v>589</v>
      </c>
      <c r="AL6" s="72" t="s">
        <v>590</v>
      </c>
      <c r="AM6" s="69" t="s">
        <v>39</v>
      </c>
      <c r="AN6" s="72" t="s">
        <v>39</v>
      </c>
      <c r="AO6" s="72" t="s">
        <v>589</v>
      </c>
      <c r="AP6" s="72" t="s">
        <v>590</v>
      </c>
      <c r="AQ6" s="69" t="s">
        <v>25</v>
      </c>
      <c r="AR6" s="72"/>
      <c r="AS6" s="72"/>
      <c r="AT6" s="72"/>
    </row>
    <row r="7" spans="1:46" ht="21.75" customHeight="1" x14ac:dyDescent="0.2">
      <c r="A7" s="67" t="s">
        <v>776</v>
      </c>
      <c r="B7" s="68" t="s">
        <v>597</v>
      </c>
      <c r="C7" s="69" t="s">
        <v>25</v>
      </c>
      <c r="D7" s="70"/>
      <c r="E7" s="70"/>
      <c r="F7" s="70"/>
      <c r="G7" s="69" t="s">
        <v>25</v>
      </c>
      <c r="H7" s="70"/>
      <c r="I7" s="70"/>
      <c r="J7" s="70"/>
      <c r="K7" s="69" t="s">
        <v>590</v>
      </c>
      <c r="L7" s="70" t="s">
        <v>777</v>
      </c>
      <c r="M7" s="70" t="s">
        <v>761</v>
      </c>
      <c r="N7" s="70" t="s">
        <v>762</v>
      </c>
      <c r="O7" s="69" t="s">
        <v>590</v>
      </c>
      <c r="P7" s="70" t="s">
        <v>778</v>
      </c>
      <c r="Q7" s="70" t="s">
        <v>764</v>
      </c>
      <c r="R7" s="70" t="s">
        <v>767</v>
      </c>
      <c r="S7" s="69" t="s">
        <v>779</v>
      </c>
      <c r="T7" s="70" t="s">
        <v>780</v>
      </c>
      <c r="U7" s="70" t="s">
        <v>781</v>
      </c>
      <c r="V7" s="70" t="s">
        <v>765</v>
      </c>
      <c r="W7" s="69" t="s">
        <v>25</v>
      </c>
      <c r="X7" s="70"/>
      <c r="Y7" s="70"/>
      <c r="Z7" s="70"/>
      <c r="AA7" s="69" t="s">
        <v>25</v>
      </c>
      <c r="AB7" s="70"/>
      <c r="AC7" s="70"/>
      <c r="AD7" s="70"/>
      <c r="AE7" s="69" t="s">
        <v>590</v>
      </c>
      <c r="AF7" s="70" t="s">
        <v>778</v>
      </c>
      <c r="AG7" s="70" t="s">
        <v>764</v>
      </c>
      <c r="AH7" s="70" t="s">
        <v>767</v>
      </c>
      <c r="AI7" s="69" t="s">
        <v>25</v>
      </c>
      <c r="AJ7" s="70"/>
      <c r="AK7" s="70"/>
      <c r="AL7" s="70"/>
      <c r="AM7" s="69" t="s">
        <v>25</v>
      </c>
      <c r="AN7" s="70"/>
      <c r="AO7" s="70"/>
      <c r="AP7" s="70"/>
      <c r="AQ7" s="69" t="s">
        <v>25</v>
      </c>
      <c r="AR7" s="70"/>
      <c r="AS7" s="70"/>
      <c r="AT7" s="70"/>
    </row>
    <row r="8" spans="1:46" ht="21.75" customHeight="1" x14ac:dyDescent="0.2">
      <c r="A8" s="71" t="s">
        <v>782</v>
      </c>
      <c r="B8" s="68" t="s">
        <v>783</v>
      </c>
      <c r="C8" s="69" t="s">
        <v>25</v>
      </c>
      <c r="D8" s="72" t="s">
        <v>784</v>
      </c>
      <c r="E8" s="72" t="s">
        <v>784</v>
      </c>
      <c r="F8" s="72" t="s">
        <v>784</v>
      </c>
      <c r="G8" s="69" t="s">
        <v>25</v>
      </c>
      <c r="H8" s="72" t="s">
        <v>784</v>
      </c>
      <c r="I8" s="72" t="s">
        <v>784</v>
      </c>
      <c r="J8" s="72" t="s">
        <v>784</v>
      </c>
      <c r="K8" s="69" t="s">
        <v>785</v>
      </c>
      <c r="L8" s="72" t="s">
        <v>785</v>
      </c>
      <c r="M8" s="72" t="s">
        <v>785</v>
      </c>
      <c r="N8" s="72" t="s">
        <v>785</v>
      </c>
      <c r="O8" s="69" t="s">
        <v>785</v>
      </c>
      <c r="P8" s="72" t="s">
        <v>785</v>
      </c>
      <c r="Q8" s="72" t="s">
        <v>785</v>
      </c>
      <c r="R8" s="72" t="s">
        <v>785</v>
      </c>
      <c r="S8" s="69" t="s">
        <v>785</v>
      </c>
      <c r="T8" s="72" t="s">
        <v>785</v>
      </c>
      <c r="U8" s="72" t="s">
        <v>785</v>
      </c>
      <c r="V8" s="72" t="s">
        <v>785</v>
      </c>
      <c r="W8" s="69" t="s">
        <v>25</v>
      </c>
      <c r="X8" s="72" t="s">
        <v>784</v>
      </c>
      <c r="Y8" s="72" t="s">
        <v>784</v>
      </c>
      <c r="Z8" s="72" t="s">
        <v>784</v>
      </c>
      <c r="AA8" s="69" t="s">
        <v>25</v>
      </c>
      <c r="AB8" s="72" t="s">
        <v>784</v>
      </c>
      <c r="AC8" s="72" t="s">
        <v>784</v>
      </c>
      <c r="AD8" s="72" t="s">
        <v>784</v>
      </c>
      <c r="AE8" s="69" t="s">
        <v>785</v>
      </c>
      <c r="AF8" s="72" t="s">
        <v>785</v>
      </c>
      <c r="AG8" s="72" t="s">
        <v>785</v>
      </c>
      <c r="AH8" s="72" t="s">
        <v>785</v>
      </c>
      <c r="AI8" s="69" t="s">
        <v>25</v>
      </c>
      <c r="AJ8" s="72" t="s">
        <v>784</v>
      </c>
      <c r="AK8" s="72" t="s">
        <v>784</v>
      </c>
      <c r="AL8" s="72" t="s">
        <v>784</v>
      </c>
      <c r="AM8" s="69" t="s">
        <v>25</v>
      </c>
      <c r="AN8" s="72" t="s">
        <v>784</v>
      </c>
      <c r="AO8" s="72" t="s">
        <v>784</v>
      </c>
      <c r="AP8" s="72" t="s">
        <v>784</v>
      </c>
      <c r="AQ8" s="69" t="s">
        <v>25</v>
      </c>
      <c r="AR8" s="72"/>
      <c r="AS8" s="72"/>
      <c r="AT8" s="72"/>
    </row>
    <row r="9" spans="1:46" ht="21.75" customHeight="1" x14ac:dyDescent="0.2">
      <c r="A9" s="67" t="s">
        <v>786</v>
      </c>
      <c r="B9" s="68" t="s">
        <v>783</v>
      </c>
      <c r="C9" s="69" t="s">
        <v>785</v>
      </c>
      <c r="D9" s="70" t="s">
        <v>785</v>
      </c>
      <c r="E9" s="70" t="s">
        <v>785</v>
      </c>
      <c r="F9" s="70" t="s">
        <v>785</v>
      </c>
      <c r="G9" s="69" t="s">
        <v>785</v>
      </c>
      <c r="H9" s="70" t="s">
        <v>785</v>
      </c>
      <c r="I9" s="70" t="s">
        <v>785</v>
      </c>
      <c r="J9" s="70" t="s">
        <v>785</v>
      </c>
      <c r="K9" s="69" t="s">
        <v>785</v>
      </c>
      <c r="L9" s="70" t="s">
        <v>785</v>
      </c>
      <c r="M9" s="70" t="s">
        <v>785</v>
      </c>
      <c r="N9" s="70" t="s">
        <v>785</v>
      </c>
      <c r="O9" s="69" t="s">
        <v>785</v>
      </c>
      <c r="P9" s="70" t="s">
        <v>785</v>
      </c>
      <c r="Q9" s="70" t="s">
        <v>785</v>
      </c>
      <c r="R9" s="70" t="s">
        <v>785</v>
      </c>
      <c r="S9" s="69" t="s">
        <v>785</v>
      </c>
      <c r="T9" s="70" t="s">
        <v>785</v>
      </c>
      <c r="U9" s="70" t="s">
        <v>785</v>
      </c>
      <c r="V9" s="70" t="s">
        <v>785</v>
      </c>
      <c r="W9" s="69" t="s">
        <v>785</v>
      </c>
      <c r="X9" s="70" t="s">
        <v>785</v>
      </c>
      <c r="Y9" s="70" t="s">
        <v>785</v>
      </c>
      <c r="Z9" s="70" t="s">
        <v>785</v>
      </c>
      <c r="AA9" s="69" t="s">
        <v>785</v>
      </c>
      <c r="AB9" s="70" t="s">
        <v>785</v>
      </c>
      <c r="AC9" s="70" t="s">
        <v>785</v>
      </c>
      <c r="AD9" s="70" t="s">
        <v>785</v>
      </c>
      <c r="AE9" s="69" t="s">
        <v>785</v>
      </c>
      <c r="AF9" s="70" t="s">
        <v>785</v>
      </c>
      <c r="AG9" s="70" t="s">
        <v>785</v>
      </c>
      <c r="AH9" s="70" t="s">
        <v>785</v>
      </c>
      <c r="AI9" s="69" t="s">
        <v>785</v>
      </c>
      <c r="AJ9" s="70" t="s">
        <v>785</v>
      </c>
      <c r="AK9" s="70" t="s">
        <v>785</v>
      </c>
      <c r="AL9" s="70" t="s">
        <v>785</v>
      </c>
      <c r="AM9" s="69" t="s">
        <v>785</v>
      </c>
      <c r="AN9" s="70" t="s">
        <v>785</v>
      </c>
      <c r="AO9" s="70" t="s">
        <v>785</v>
      </c>
      <c r="AP9" s="70" t="s">
        <v>785</v>
      </c>
      <c r="AQ9" s="69" t="s">
        <v>25</v>
      </c>
      <c r="AR9" s="70"/>
      <c r="AS9" s="70"/>
      <c r="AT9" s="70"/>
    </row>
    <row r="10" spans="1:46" ht="21.75" customHeight="1" x14ac:dyDescent="0.2">
      <c r="A10" s="71" t="s">
        <v>787</v>
      </c>
      <c r="B10" s="68" t="s">
        <v>783</v>
      </c>
      <c r="C10" s="69" t="s">
        <v>42</v>
      </c>
      <c r="D10" s="72" t="s">
        <v>189</v>
      </c>
      <c r="E10" s="72" t="s">
        <v>788</v>
      </c>
      <c r="F10" s="72" t="s">
        <v>788</v>
      </c>
      <c r="G10" s="69" t="s">
        <v>42</v>
      </c>
      <c r="H10" s="72" t="s">
        <v>789</v>
      </c>
      <c r="I10" s="72" t="s">
        <v>788</v>
      </c>
      <c r="J10" s="72" t="s">
        <v>788</v>
      </c>
      <c r="K10" s="69" t="s">
        <v>42</v>
      </c>
      <c r="L10" s="72" t="s">
        <v>789</v>
      </c>
      <c r="M10" s="72" t="s">
        <v>788</v>
      </c>
      <c r="N10" s="72" t="s">
        <v>788</v>
      </c>
      <c r="O10" s="69" t="s">
        <v>42</v>
      </c>
      <c r="P10" s="72" t="s">
        <v>789</v>
      </c>
      <c r="Q10" s="72" t="s">
        <v>788</v>
      </c>
      <c r="R10" s="72" t="s">
        <v>788</v>
      </c>
      <c r="S10" s="69" t="s">
        <v>42</v>
      </c>
      <c r="T10" s="72" t="s">
        <v>789</v>
      </c>
      <c r="U10" s="72" t="s">
        <v>788</v>
      </c>
      <c r="V10" s="72" t="s">
        <v>788</v>
      </c>
      <c r="W10" s="69" t="s">
        <v>42</v>
      </c>
      <c r="X10" s="72" t="s">
        <v>789</v>
      </c>
      <c r="Y10" s="72" t="s">
        <v>788</v>
      </c>
      <c r="Z10" s="72" t="s">
        <v>788</v>
      </c>
      <c r="AA10" s="69" t="s">
        <v>42</v>
      </c>
      <c r="AB10" s="72" t="s">
        <v>789</v>
      </c>
      <c r="AC10" s="72" t="s">
        <v>788</v>
      </c>
      <c r="AD10" s="72" t="s">
        <v>788</v>
      </c>
      <c r="AE10" s="69" t="s">
        <v>42</v>
      </c>
      <c r="AF10" s="72" t="s">
        <v>789</v>
      </c>
      <c r="AG10" s="72" t="s">
        <v>788</v>
      </c>
      <c r="AH10" s="72" t="s">
        <v>788</v>
      </c>
      <c r="AI10" s="69" t="s">
        <v>42</v>
      </c>
      <c r="AJ10" s="72" t="s">
        <v>189</v>
      </c>
      <c r="AK10" s="72" t="s">
        <v>788</v>
      </c>
      <c r="AL10" s="72" t="s">
        <v>788</v>
      </c>
      <c r="AM10" s="69" t="s">
        <v>42</v>
      </c>
      <c r="AN10" s="72" t="s">
        <v>189</v>
      </c>
      <c r="AO10" s="72" t="s">
        <v>788</v>
      </c>
      <c r="AP10" s="72" t="s">
        <v>788</v>
      </c>
      <c r="AQ10" s="69" t="s">
        <v>25</v>
      </c>
      <c r="AR10" s="72"/>
      <c r="AS10" s="72"/>
      <c r="AT10" s="72"/>
    </row>
    <row r="11" spans="1:46" ht="21.75" customHeight="1" x14ac:dyDescent="0.2">
      <c r="A11" s="67" t="s">
        <v>790</v>
      </c>
      <c r="B11" s="68" t="s">
        <v>791</v>
      </c>
      <c r="C11" s="69" t="s">
        <v>42</v>
      </c>
      <c r="D11" s="70" t="s">
        <v>784</v>
      </c>
      <c r="E11" s="70" t="s">
        <v>615</v>
      </c>
      <c r="F11" s="70" t="s">
        <v>615</v>
      </c>
      <c r="G11" s="69" t="s">
        <v>42</v>
      </c>
      <c r="H11" s="70" t="s">
        <v>784</v>
      </c>
      <c r="I11" s="70" t="s">
        <v>615</v>
      </c>
      <c r="J11" s="70" t="s">
        <v>615</v>
      </c>
      <c r="K11" s="69" t="s">
        <v>42</v>
      </c>
      <c r="L11" s="70" t="s">
        <v>784</v>
      </c>
      <c r="M11" s="70" t="s">
        <v>615</v>
      </c>
      <c r="N11" s="70" t="s">
        <v>615</v>
      </c>
      <c r="O11" s="69" t="s">
        <v>42</v>
      </c>
      <c r="P11" s="70" t="s">
        <v>784</v>
      </c>
      <c r="Q11" s="70" t="s">
        <v>615</v>
      </c>
      <c r="R11" s="70" t="s">
        <v>615</v>
      </c>
      <c r="S11" s="69" t="s">
        <v>42</v>
      </c>
      <c r="T11" s="70" t="s">
        <v>784</v>
      </c>
      <c r="U11" s="70" t="s">
        <v>615</v>
      </c>
      <c r="V11" s="70" t="s">
        <v>615</v>
      </c>
      <c r="W11" s="69" t="s">
        <v>42</v>
      </c>
      <c r="X11" s="70" t="s">
        <v>784</v>
      </c>
      <c r="Y11" s="70" t="s">
        <v>615</v>
      </c>
      <c r="Z11" s="70" t="s">
        <v>615</v>
      </c>
      <c r="AA11" s="69" t="s">
        <v>42</v>
      </c>
      <c r="AB11" s="70" t="s">
        <v>784</v>
      </c>
      <c r="AC11" s="70" t="s">
        <v>615</v>
      </c>
      <c r="AD11" s="70" t="s">
        <v>615</v>
      </c>
      <c r="AE11" s="69" t="s">
        <v>42</v>
      </c>
      <c r="AF11" s="70" t="s">
        <v>784</v>
      </c>
      <c r="AG11" s="70" t="s">
        <v>615</v>
      </c>
      <c r="AH11" s="70" t="s">
        <v>615</v>
      </c>
      <c r="AI11" s="69" t="s">
        <v>42</v>
      </c>
      <c r="AJ11" s="70" t="s">
        <v>784</v>
      </c>
      <c r="AK11" s="70" t="s">
        <v>615</v>
      </c>
      <c r="AL11" s="70" t="s">
        <v>615</v>
      </c>
      <c r="AM11" s="69" t="s">
        <v>42</v>
      </c>
      <c r="AN11" s="70" t="s">
        <v>784</v>
      </c>
      <c r="AO11" s="70" t="s">
        <v>615</v>
      </c>
      <c r="AP11" s="70" t="s">
        <v>615</v>
      </c>
      <c r="AQ11" s="69" t="s">
        <v>25</v>
      </c>
      <c r="AR11" s="70"/>
      <c r="AS11" s="70"/>
      <c r="AT11" s="70"/>
    </row>
    <row r="12" spans="1:46" ht="21.75" customHeight="1" x14ac:dyDescent="0.2">
      <c r="A12" s="71" t="s">
        <v>327</v>
      </c>
      <c r="B12" s="68" t="s">
        <v>791</v>
      </c>
      <c r="C12" s="69" t="s">
        <v>42</v>
      </c>
      <c r="D12" s="72" t="s">
        <v>615</v>
      </c>
      <c r="E12" s="72" t="s">
        <v>615</v>
      </c>
      <c r="F12" s="72" t="s">
        <v>615</v>
      </c>
      <c r="G12" s="69" t="s">
        <v>42</v>
      </c>
      <c r="H12" s="72" t="s">
        <v>615</v>
      </c>
      <c r="I12" s="72" t="s">
        <v>615</v>
      </c>
      <c r="J12" s="72" t="s">
        <v>615</v>
      </c>
      <c r="K12" s="69" t="s">
        <v>42</v>
      </c>
      <c r="L12" s="72" t="s">
        <v>615</v>
      </c>
      <c r="M12" s="72" t="s">
        <v>615</v>
      </c>
      <c r="N12" s="72" t="s">
        <v>615</v>
      </c>
      <c r="O12" s="69" t="s">
        <v>42</v>
      </c>
      <c r="P12" s="72" t="s">
        <v>615</v>
      </c>
      <c r="Q12" s="72" t="s">
        <v>615</v>
      </c>
      <c r="R12" s="72" t="s">
        <v>615</v>
      </c>
      <c r="S12" s="69" t="s">
        <v>42</v>
      </c>
      <c r="T12" s="72" t="s">
        <v>615</v>
      </c>
      <c r="U12" s="72" t="s">
        <v>615</v>
      </c>
      <c r="V12" s="72" t="s">
        <v>615</v>
      </c>
      <c r="W12" s="69" t="s">
        <v>42</v>
      </c>
      <c r="X12" s="72" t="s">
        <v>615</v>
      </c>
      <c r="Y12" s="72" t="s">
        <v>615</v>
      </c>
      <c r="Z12" s="72" t="s">
        <v>615</v>
      </c>
      <c r="AA12" s="69" t="s">
        <v>42</v>
      </c>
      <c r="AB12" s="72" t="s">
        <v>615</v>
      </c>
      <c r="AC12" s="72" t="s">
        <v>615</v>
      </c>
      <c r="AD12" s="72" t="s">
        <v>615</v>
      </c>
      <c r="AE12" s="69" t="s">
        <v>42</v>
      </c>
      <c r="AF12" s="72" t="s">
        <v>615</v>
      </c>
      <c r="AG12" s="72" t="s">
        <v>615</v>
      </c>
      <c r="AH12" s="72" t="s">
        <v>615</v>
      </c>
      <c r="AI12" s="69" t="s">
        <v>42</v>
      </c>
      <c r="AJ12" s="72" t="s">
        <v>615</v>
      </c>
      <c r="AK12" s="72" t="s">
        <v>615</v>
      </c>
      <c r="AL12" s="72" t="s">
        <v>615</v>
      </c>
      <c r="AM12" s="69" t="s">
        <v>42</v>
      </c>
      <c r="AN12" s="72" t="s">
        <v>615</v>
      </c>
      <c r="AO12" s="72" t="s">
        <v>615</v>
      </c>
      <c r="AP12" s="72" t="s">
        <v>615</v>
      </c>
      <c r="AQ12" s="69" t="s">
        <v>25</v>
      </c>
      <c r="AR12" s="72"/>
      <c r="AS12" s="72"/>
      <c r="AT12" s="72"/>
    </row>
    <row r="13" spans="1:46" ht="21.75" customHeight="1" x14ac:dyDescent="0.2">
      <c r="A13" s="67" t="s">
        <v>792</v>
      </c>
      <c r="B13" s="68" t="s">
        <v>791</v>
      </c>
      <c r="C13" s="69" t="s">
        <v>793</v>
      </c>
      <c r="D13" s="70" t="s">
        <v>39</v>
      </c>
      <c r="E13" s="70" t="s">
        <v>175</v>
      </c>
      <c r="F13" s="70" t="s">
        <v>645</v>
      </c>
      <c r="G13" s="69" t="s">
        <v>793</v>
      </c>
      <c r="H13" s="70" t="s">
        <v>39</v>
      </c>
      <c r="I13" s="70" t="s">
        <v>175</v>
      </c>
      <c r="J13" s="70" t="s">
        <v>645</v>
      </c>
      <c r="K13" s="69" t="s">
        <v>793</v>
      </c>
      <c r="L13" s="70" t="s">
        <v>39</v>
      </c>
      <c r="M13" s="70" t="s">
        <v>175</v>
      </c>
      <c r="N13" s="70" t="s">
        <v>645</v>
      </c>
      <c r="O13" s="69" t="s">
        <v>793</v>
      </c>
      <c r="P13" s="70" t="s">
        <v>39</v>
      </c>
      <c r="Q13" s="70" t="s">
        <v>175</v>
      </c>
      <c r="R13" s="70" t="s">
        <v>645</v>
      </c>
      <c r="S13" s="69" t="s">
        <v>793</v>
      </c>
      <c r="T13" s="70" t="s">
        <v>39</v>
      </c>
      <c r="U13" s="70" t="s">
        <v>175</v>
      </c>
      <c r="V13" s="70" t="s">
        <v>645</v>
      </c>
      <c r="W13" s="69" t="s">
        <v>793</v>
      </c>
      <c r="X13" s="70" t="s">
        <v>39</v>
      </c>
      <c r="Y13" s="70" t="s">
        <v>175</v>
      </c>
      <c r="Z13" s="70" t="s">
        <v>645</v>
      </c>
      <c r="AA13" s="69" t="s">
        <v>793</v>
      </c>
      <c r="AB13" s="70" t="s">
        <v>39</v>
      </c>
      <c r="AC13" s="70" t="s">
        <v>175</v>
      </c>
      <c r="AD13" s="70" t="s">
        <v>645</v>
      </c>
      <c r="AE13" s="69" t="s">
        <v>793</v>
      </c>
      <c r="AF13" s="70" t="s">
        <v>39</v>
      </c>
      <c r="AG13" s="70" t="s">
        <v>175</v>
      </c>
      <c r="AH13" s="70" t="s">
        <v>645</v>
      </c>
      <c r="AI13" s="69" t="s">
        <v>793</v>
      </c>
      <c r="AJ13" s="70" t="s">
        <v>39</v>
      </c>
      <c r="AK13" s="70" t="s">
        <v>175</v>
      </c>
      <c r="AL13" s="70" t="s">
        <v>645</v>
      </c>
      <c r="AM13" s="69" t="s">
        <v>793</v>
      </c>
      <c r="AN13" s="70" t="s">
        <v>39</v>
      </c>
      <c r="AO13" s="70" t="s">
        <v>175</v>
      </c>
      <c r="AP13" s="70" t="s">
        <v>645</v>
      </c>
      <c r="AQ13" s="69" t="s">
        <v>25</v>
      </c>
      <c r="AR13" s="70"/>
      <c r="AS13" s="70"/>
      <c r="AT13" s="70"/>
    </row>
    <row r="14" spans="1:46" ht="21.75" customHeight="1" x14ac:dyDescent="0.2">
      <c r="A14" s="71" t="s">
        <v>271</v>
      </c>
      <c r="B14" s="68" t="s">
        <v>794</v>
      </c>
      <c r="C14" s="69" t="s">
        <v>795</v>
      </c>
      <c r="D14" s="72" t="s">
        <v>796</v>
      </c>
      <c r="E14" s="72" t="s">
        <v>797</v>
      </c>
      <c r="F14" s="72" t="s">
        <v>797</v>
      </c>
      <c r="G14" s="69" t="s">
        <v>795</v>
      </c>
      <c r="H14" s="72" t="s">
        <v>796</v>
      </c>
      <c r="I14" s="72" t="s">
        <v>797</v>
      </c>
      <c r="J14" s="72" t="s">
        <v>797</v>
      </c>
      <c r="K14" s="69" t="s">
        <v>795</v>
      </c>
      <c r="L14" s="72" t="s">
        <v>796</v>
      </c>
      <c r="M14" s="72" t="s">
        <v>797</v>
      </c>
      <c r="N14" s="72" t="s">
        <v>797</v>
      </c>
      <c r="O14" s="69" t="s">
        <v>795</v>
      </c>
      <c r="P14" s="72" t="s">
        <v>796</v>
      </c>
      <c r="Q14" s="72" t="s">
        <v>797</v>
      </c>
      <c r="R14" s="72" t="s">
        <v>797</v>
      </c>
      <c r="S14" s="69" t="s">
        <v>795</v>
      </c>
      <c r="T14" s="72" t="s">
        <v>796</v>
      </c>
      <c r="U14" s="72" t="s">
        <v>797</v>
      </c>
      <c r="V14" s="72" t="s">
        <v>797</v>
      </c>
      <c r="W14" s="69" t="s">
        <v>795</v>
      </c>
      <c r="X14" s="72" t="s">
        <v>796</v>
      </c>
      <c r="Y14" s="72" t="s">
        <v>797</v>
      </c>
      <c r="Z14" s="72" t="s">
        <v>797</v>
      </c>
      <c r="AA14" s="69" t="s">
        <v>795</v>
      </c>
      <c r="AB14" s="72" t="s">
        <v>796</v>
      </c>
      <c r="AC14" s="72" t="s">
        <v>797</v>
      </c>
      <c r="AD14" s="72" t="s">
        <v>797</v>
      </c>
      <c r="AE14" s="69" t="s">
        <v>795</v>
      </c>
      <c r="AF14" s="72" t="s">
        <v>796</v>
      </c>
      <c r="AG14" s="72" t="s">
        <v>797</v>
      </c>
      <c r="AH14" s="72" t="s">
        <v>797</v>
      </c>
      <c r="AI14" s="69" t="s">
        <v>795</v>
      </c>
      <c r="AJ14" s="72" t="s">
        <v>796</v>
      </c>
      <c r="AK14" s="72" t="s">
        <v>797</v>
      </c>
      <c r="AL14" s="72" t="s">
        <v>797</v>
      </c>
      <c r="AM14" s="69" t="s">
        <v>795</v>
      </c>
      <c r="AN14" s="72" t="s">
        <v>796</v>
      </c>
      <c r="AO14" s="72" t="s">
        <v>797</v>
      </c>
      <c r="AP14" s="72" t="s">
        <v>797</v>
      </c>
      <c r="AQ14" s="69" t="s">
        <v>25</v>
      </c>
      <c r="AR14" s="72"/>
      <c r="AS14" s="72"/>
      <c r="AT14" s="72"/>
    </row>
    <row r="15" spans="1:46" ht="21.75" customHeight="1" x14ac:dyDescent="0.2">
      <c r="A15" s="67" t="s">
        <v>798</v>
      </c>
      <c r="B15" s="68" t="s">
        <v>799</v>
      </c>
      <c r="C15" s="69" t="s">
        <v>22</v>
      </c>
      <c r="D15" s="70" t="s">
        <v>800</v>
      </c>
      <c r="E15" s="70" t="s">
        <v>801</v>
      </c>
      <c r="F15" s="70" t="s">
        <v>802</v>
      </c>
      <c r="G15" s="69" t="s">
        <v>22</v>
      </c>
      <c r="H15" s="70" t="s">
        <v>800</v>
      </c>
      <c r="I15" s="70" t="s">
        <v>801</v>
      </c>
      <c r="J15" s="70" t="s">
        <v>802</v>
      </c>
      <c r="K15" s="69" t="s">
        <v>22</v>
      </c>
      <c r="L15" s="70" t="s">
        <v>800</v>
      </c>
      <c r="M15" s="70" t="s">
        <v>801</v>
      </c>
      <c r="N15" s="70" t="s">
        <v>802</v>
      </c>
      <c r="O15" s="69" t="s">
        <v>22</v>
      </c>
      <c r="P15" s="70" t="s">
        <v>800</v>
      </c>
      <c r="Q15" s="70" t="s">
        <v>801</v>
      </c>
      <c r="R15" s="70" t="s">
        <v>802</v>
      </c>
      <c r="S15" s="69" t="s">
        <v>22</v>
      </c>
      <c r="T15" s="70" t="s">
        <v>800</v>
      </c>
      <c r="U15" s="70" t="s">
        <v>801</v>
      </c>
      <c r="V15" s="70" t="s">
        <v>802</v>
      </c>
      <c r="W15" s="69" t="s">
        <v>22</v>
      </c>
      <c r="X15" s="70" t="s">
        <v>800</v>
      </c>
      <c r="Y15" s="70" t="s">
        <v>801</v>
      </c>
      <c r="Z15" s="70" t="s">
        <v>802</v>
      </c>
      <c r="AA15" s="69" t="s">
        <v>22</v>
      </c>
      <c r="AB15" s="70" t="s">
        <v>800</v>
      </c>
      <c r="AC15" s="70" t="s">
        <v>801</v>
      </c>
      <c r="AD15" s="70" t="s">
        <v>802</v>
      </c>
      <c r="AE15" s="69" t="s">
        <v>22</v>
      </c>
      <c r="AF15" s="70" t="s">
        <v>800</v>
      </c>
      <c r="AG15" s="70" t="s">
        <v>801</v>
      </c>
      <c r="AH15" s="70" t="s">
        <v>802</v>
      </c>
      <c r="AI15" s="69" t="s">
        <v>22</v>
      </c>
      <c r="AJ15" s="70" t="s">
        <v>800</v>
      </c>
      <c r="AK15" s="70" t="s">
        <v>801</v>
      </c>
      <c r="AL15" s="70" t="s">
        <v>802</v>
      </c>
      <c r="AM15" s="69" t="s">
        <v>22</v>
      </c>
      <c r="AN15" s="70" t="s">
        <v>800</v>
      </c>
      <c r="AO15" s="70" t="s">
        <v>801</v>
      </c>
      <c r="AP15" s="70" t="s">
        <v>802</v>
      </c>
      <c r="AQ15" s="69" t="s">
        <v>25</v>
      </c>
      <c r="AR15" s="70"/>
      <c r="AS15" s="70"/>
      <c r="AT15" s="70"/>
    </row>
    <row r="16" spans="1:46" ht="21.75" customHeight="1" x14ac:dyDescent="0.2">
      <c r="A16" s="71" t="s">
        <v>378</v>
      </c>
      <c r="B16" s="68" t="s">
        <v>799</v>
      </c>
      <c r="C16" s="69" t="s">
        <v>42</v>
      </c>
      <c r="D16" s="72" t="s">
        <v>803</v>
      </c>
      <c r="E16" s="72" t="s">
        <v>803</v>
      </c>
      <c r="F16" s="72" t="s">
        <v>803</v>
      </c>
      <c r="G16" s="69" t="s">
        <v>42</v>
      </c>
      <c r="H16" s="72" t="s">
        <v>803</v>
      </c>
      <c r="I16" s="72" t="s">
        <v>803</v>
      </c>
      <c r="J16" s="72" t="s">
        <v>803</v>
      </c>
      <c r="K16" s="69" t="s">
        <v>42</v>
      </c>
      <c r="L16" s="72" t="s">
        <v>803</v>
      </c>
      <c r="M16" s="72" t="s">
        <v>803</v>
      </c>
      <c r="N16" s="72" t="s">
        <v>803</v>
      </c>
      <c r="O16" s="69" t="s">
        <v>42</v>
      </c>
      <c r="P16" s="72" t="s">
        <v>803</v>
      </c>
      <c r="Q16" s="72" t="s">
        <v>803</v>
      </c>
      <c r="R16" s="72" t="s">
        <v>803</v>
      </c>
      <c r="S16" s="69" t="s">
        <v>42</v>
      </c>
      <c r="T16" s="72" t="s">
        <v>803</v>
      </c>
      <c r="U16" s="72" t="s">
        <v>803</v>
      </c>
      <c r="V16" s="72" t="s">
        <v>803</v>
      </c>
      <c r="W16" s="69" t="s">
        <v>42</v>
      </c>
      <c r="X16" s="72" t="s">
        <v>803</v>
      </c>
      <c r="Y16" s="72" t="s">
        <v>803</v>
      </c>
      <c r="Z16" s="72" t="s">
        <v>803</v>
      </c>
      <c r="AA16" s="69" t="s">
        <v>42</v>
      </c>
      <c r="AB16" s="72" t="s">
        <v>803</v>
      </c>
      <c r="AC16" s="72" t="s">
        <v>803</v>
      </c>
      <c r="AD16" s="72" t="s">
        <v>803</v>
      </c>
      <c r="AE16" s="69" t="s">
        <v>42</v>
      </c>
      <c r="AF16" s="72" t="s">
        <v>803</v>
      </c>
      <c r="AG16" s="72" t="s">
        <v>803</v>
      </c>
      <c r="AH16" s="72" t="s">
        <v>803</v>
      </c>
      <c r="AI16" s="69" t="s">
        <v>42</v>
      </c>
      <c r="AJ16" s="72" t="s">
        <v>803</v>
      </c>
      <c r="AK16" s="72" t="s">
        <v>803</v>
      </c>
      <c r="AL16" s="72" t="s">
        <v>803</v>
      </c>
      <c r="AM16" s="69" t="s">
        <v>42</v>
      </c>
      <c r="AN16" s="72" t="s">
        <v>803</v>
      </c>
      <c r="AO16" s="72" t="s">
        <v>803</v>
      </c>
      <c r="AP16" s="72" t="s">
        <v>803</v>
      </c>
      <c r="AQ16" s="69" t="s">
        <v>42</v>
      </c>
      <c r="AR16" s="72" t="s">
        <v>785</v>
      </c>
      <c r="AS16" s="72" t="s">
        <v>785</v>
      </c>
      <c r="AT16" s="72" t="s">
        <v>785</v>
      </c>
    </row>
    <row r="17" spans="1:46" ht="21.75" customHeight="1" x14ac:dyDescent="0.2">
      <c r="A17" s="67" t="s">
        <v>804</v>
      </c>
      <c r="B17" s="68" t="s">
        <v>397</v>
      </c>
      <c r="C17" s="69" t="s">
        <v>805</v>
      </c>
      <c r="D17" s="70" t="s">
        <v>785</v>
      </c>
      <c r="E17" s="70" t="s">
        <v>785</v>
      </c>
      <c r="F17" s="70" t="s">
        <v>785</v>
      </c>
      <c r="G17" s="69" t="s">
        <v>805</v>
      </c>
      <c r="H17" s="70" t="s">
        <v>785</v>
      </c>
      <c r="I17" s="70" t="s">
        <v>785</v>
      </c>
      <c r="J17" s="70" t="s">
        <v>785</v>
      </c>
      <c r="K17" s="69" t="s">
        <v>805</v>
      </c>
      <c r="L17" s="70" t="s">
        <v>785</v>
      </c>
      <c r="M17" s="70" t="s">
        <v>785</v>
      </c>
      <c r="N17" s="70" t="s">
        <v>785</v>
      </c>
      <c r="O17" s="69" t="s">
        <v>805</v>
      </c>
      <c r="P17" s="70" t="s">
        <v>785</v>
      </c>
      <c r="Q17" s="70" t="s">
        <v>785</v>
      </c>
      <c r="R17" s="70" t="s">
        <v>785</v>
      </c>
      <c r="S17" s="69" t="s">
        <v>805</v>
      </c>
      <c r="T17" s="70" t="s">
        <v>785</v>
      </c>
      <c r="U17" s="70" t="s">
        <v>785</v>
      </c>
      <c r="V17" s="70" t="s">
        <v>785</v>
      </c>
      <c r="W17" s="69" t="s">
        <v>805</v>
      </c>
      <c r="X17" s="70" t="s">
        <v>785</v>
      </c>
      <c r="Y17" s="70" t="s">
        <v>785</v>
      </c>
      <c r="Z17" s="70" t="s">
        <v>785</v>
      </c>
      <c r="AA17" s="69" t="s">
        <v>805</v>
      </c>
      <c r="AB17" s="70" t="s">
        <v>785</v>
      </c>
      <c r="AC17" s="70" t="s">
        <v>785</v>
      </c>
      <c r="AD17" s="70" t="s">
        <v>785</v>
      </c>
      <c r="AE17" s="69" t="s">
        <v>805</v>
      </c>
      <c r="AF17" s="70" t="s">
        <v>785</v>
      </c>
      <c r="AG17" s="70" t="s">
        <v>785</v>
      </c>
      <c r="AH17" s="70" t="s">
        <v>785</v>
      </c>
      <c r="AI17" s="69" t="s">
        <v>805</v>
      </c>
      <c r="AJ17" s="70" t="s">
        <v>785</v>
      </c>
      <c r="AK17" s="70" t="s">
        <v>785</v>
      </c>
      <c r="AL17" s="70" t="s">
        <v>785</v>
      </c>
      <c r="AM17" s="69" t="s">
        <v>805</v>
      </c>
      <c r="AN17" s="70" t="s">
        <v>785</v>
      </c>
      <c r="AO17" s="70" t="s">
        <v>785</v>
      </c>
      <c r="AP17" s="70" t="s">
        <v>785</v>
      </c>
      <c r="AQ17" s="69" t="s">
        <v>805</v>
      </c>
      <c r="AR17" s="70" t="s">
        <v>806</v>
      </c>
      <c r="AS17" s="70" t="s">
        <v>806</v>
      </c>
      <c r="AT17" s="70" t="s">
        <v>806</v>
      </c>
    </row>
    <row r="18" spans="1:46" ht="21.75" customHeight="1" x14ac:dyDescent="0.2">
      <c r="A18" s="71" t="s">
        <v>807</v>
      </c>
      <c r="B18" s="68" t="s">
        <v>397</v>
      </c>
      <c r="C18" s="69" t="s">
        <v>42</v>
      </c>
      <c r="D18" s="72" t="s">
        <v>805</v>
      </c>
      <c r="E18" s="72" t="s">
        <v>629</v>
      </c>
      <c r="F18" s="72" t="s">
        <v>170</v>
      </c>
      <c r="G18" s="69" t="s">
        <v>42</v>
      </c>
      <c r="H18" s="72" t="s">
        <v>805</v>
      </c>
      <c r="I18" s="72" t="s">
        <v>629</v>
      </c>
      <c r="J18" s="72" t="s">
        <v>170</v>
      </c>
      <c r="K18" s="69" t="s">
        <v>42</v>
      </c>
      <c r="L18" s="72" t="s">
        <v>805</v>
      </c>
      <c r="M18" s="72" t="s">
        <v>629</v>
      </c>
      <c r="N18" s="72" t="s">
        <v>170</v>
      </c>
      <c r="O18" s="69" t="s">
        <v>42</v>
      </c>
      <c r="P18" s="72" t="s">
        <v>805</v>
      </c>
      <c r="Q18" s="72" t="s">
        <v>629</v>
      </c>
      <c r="R18" s="72" t="s">
        <v>170</v>
      </c>
      <c r="S18" s="69" t="s">
        <v>42</v>
      </c>
      <c r="T18" s="72" t="s">
        <v>805</v>
      </c>
      <c r="U18" s="72" t="s">
        <v>629</v>
      </c>
      <c r="V18" s="72" t="s">
        <v>170</v>
      </c>
      <c r="W18" s="69" t="s">
        <v>42</v>
      </c>
      <c r="X18" s="72" t="s">
        <v>805</v>
      </c>
      <c r="Y18" s="72" t="s">
        <v>629</v>
      </c>
      <c r="Z18" s="72" t="s">
        <v>170</v>
      </c>
      <c r="AA18" s="69" t="s">
        <v>42</v>
      </c>
      <c r="AB18" s="72" t="s">
        <v>805</v>
      </c>
      <c r="AC18" s="72" t="s">
        <v>629</v>
      </c>
      <c r="AD18" s="72" t="s">
        <v>170</v>
      </c>
      <c r="AE18" s="69" t="s">
        <v>42</v>
      </c>
      <c r="AF18" s="72" t="s">
        <v>805</v>
      </c>
      <c r="AG18" s="72" t="s">
        <v>629</v>
      </c>
      <c r="AH18" s="72" t="s">
        <v>170</v>
      </c>
      <c r="AI18" s="69" t="s">
        <v>42</v>
      </c>
      <c r="AJ18" s="72" t="s">
        <v>805</v>
      </c>
      <c r="AK18" s="72" t="s">
        <v>629</v>
      </c>
      <c r="AL18" s="72" t="s">
        <v>170</v>
      </c>
      <c r="AM18" s="69" t="s">
        <v>42</v>
      </c>
      <c r="AN18" s="72" t="s">
        <v>805</v>
      </c>
      <c r="AO18" s="72" t="s">
        <v>629</v>
      </c>
      <c r="AP18" s="72" t="s">
        <v>170</v>
      </c>
      <c r="AQ18" s="69" t="s">
        <v>42</v>
      </c>
      <c r="AR18" s="72" t="s">
        <v>808</v>
      </c>
      <c r="AS18" s="72" t="s">
        <v>809</v>
      </c>
      <c r="AT18" s="72" t="s">
        <v>810</v>
      </c>
    </row>
    <row r="19" spans="1:46" ht="21.75" customHeight="1" x14ac:dyDescent="0.2">
      <c r="A19" s="67" t="s">
        <v>468</v>
      </c>
      <c r="B19" s="68" t="s">
        <v>467</v>
      </c>
      <c r="C19" s="69" t="s">
        <v>811</v>
      </c>
      <c r="D19" s="70" t="s">
        <v>629</v>
      </c>
      <c r="E19" s="70" t="s">
        <v>630</v>
      </c>
      <c r="F19" s="70" t="s">
        <v>812</v>
      </c>
      <c r="G19" s="69" t="s">
        <v>811</v>
      </c>
      <c r="H19" s="70" t="s">
        <v>629</v>
      </c>
      <c r="I19" s="70" t="s">
        <v>630</v>
      </c>
      <c r="J19" s="70" t="s">
        <v>812</v>
      </c>
      <c r="K19" s="69" t="s">
        <v>811</v>
      </c>
      <c r="L19" s="70" t="s">
        <v>629</v>
      </c>
      <c r="M19" s="70" t="s">
        <v>630</v>
      </c>
      <c r="N19" s="70" t="s">
        <v>812</v>
      </c>
      <c r="O19" s="69" t="s">
        <v>811</v>
      </c>
      <c r="P19" s="70" t="s">
        <v>629</v>
      </c>
      <c r="Q19" s="70" t="s">
        <v>630</v>
      </c>
      <c r="R19" s="70" t="s">
        <v>812</v>
      </c>
      <c r="S19" s="69" t="s">
        <v>811</v>
      </c>
      <c r="T19" s="70" t="s">
        <v>629</v>
      </c>
      <c r="U19" s="70" t="s">
        <v>630</v>
      </c>
      <c r="V19" s="70" t="s">
        <v>812</v>
      </c>
      <c r="W19" s="69" t="s">
        <v>811</v>
      </c>
      <c r="X19" s="70" t="s">
        <v>629</v>
      </c>
      <c r="Y19" s="70" t="s">
        <v>630</v>
      </c>
      <c r="Z19" s="70" t="s">
        <v>812</v>
      </c>
      <c r="AA19" s="69" t="s">
        <v>811</v>
      </c>
      <c r="AB19" s="70" t="s">
        <v>629</v>
      </c>
      <c r="AC19" s="70" t="s">
        <v>630</v>
      </c>
      <c r="AD19" s="70" t="s">
        <v>812</v>
      </c>
      <c r="AE19" s="69" t="s">
        <v>811</v>
      </c>
      <c r="AF19" s="70" t="s">
        <v>629</v>
      </c>
      <c r="AG19" s="70" t="s">
        <v>630</v>
      </c>
      <c r="AH19" s="70" t="s">
        <v>812</v>
      </c>
      <c r="AI19" s="69" t="s">
        <v>811</v>
      </c>
      <c r="AJ19" s="70" t="s">
        <v>629</v>
      </c>
      <c r="AK19" s="70" t="s">
        <v>630</v>
      </c>
      <c r="AL19" s="70" t="s">
        <v>812</v>
      </c>
      <c r="AM19" s="69" t="s">
        <v>811</v>
      </c>
      <c r="AN19" s="70" t="s">
        <v>629</v>
      </c>
      <c r="AO19" s="70" t="s">
        <v>630</v>
      </c>
      <c r="AP19" s="70" t="s">
        <v>812</v>
      </c>
      <c r="AQ19" s="69" t="s">
        <v>811</v>
      </c>
      <c r="AR19" s="70" t="s">
        <v>630</v>
      </c>
      <c r="AS19" s="70" t="s">
        <v>812</v>
      </c>
      <c r="AT19" s="70" t="s">
        <v>813</v>
      </c>
    </row>
    <row r="20" spans="1:46" ht="21.75" customHeight="1" x14ac:dyDescent="0.2">
      <c r="A20" s="71" t="s">
        <v>450</v>
      </c>
      <c r="B20" s="68" t="s">
        <v>814</v>
      </c>
      <c r="C20" s="69" t="s">
        <v>42</v>
      </c>
      <c r="D20" s="72" t="s">
        <v>815</v>
      </c>
      <c r="E20" s="72" t="s">
        <v>815</v>
      </c>
      <c r="F20" s="72" t="s">
        <v>815</v>
      </c>
      <c r="G20" s="69" t="s">
        <v>42</v>
      </c>
      <c r="H20" s="72" t="s">
        <v>815</v>
      </c>
      <c r="I20" s="72" t="s">
        <v>815</v>
      </c>
      <c r="J20" s="72" t="s">
        <v>815</v>
      </c>
      <c r="K20" s="69" t="s">
        <v>42</v>
      </c>
      <c r="L20" s="72" t="s">
        <v>815</v>
      </c>
      <c r="M20" s="72" t="s">
        <v>815</v>
      </c>
      <c r="N20" s="72" t="s">
        <v>815</v>
      </c>
      <c r="O20" s="69" t="s">
        <v>42</v>
      </c>
      <c r="P20" s="72" t="s">
        <v>815</v>
      </c>
      <c r="Q20" s="72" t="s">
        <v>815</v>
      </c>
      <c r="R20" s="72" t="s">
        <v>815</v>
      </c>
      <c r="S20" s="69" t="s">
        <v>42</v>
      </c>
      <c r="T20" s="72" t="s">
        <v>815</v>
      </c>
      <c r="U20" s="72" t="s">
        <v>815</v>
      </c>
      <c r="V20" s="72" t="s">
        <v>815</v>
      </c>
      <c r="W20" s="69" t="s">
        <v>42</v>
      </c>
      <c r="X20" s="72" t="s">
        <v>815</v>
      </c>
      <c r="Y20" s="72" t="s">
        <v>815</v>
      </c>
      <c r="Z20" s="72" t="s">
        <v>815</v>
      </c>
      <c r="AA20" s="69" t="s">
        <v>42</v>
      </c>
      <c r="AB20" s="72" t="s">
        <v>815</v>
      </c>
      <c r="AC20" s="72" t="s">
        <v>815</v>
      </c>
      <c r="AD20" s="72" t="s">
        <v>815</v>
      </c>
      <c r="AE20" s="69" t="s">
        <v>42</v>
      </c>
      <c r="AF20" s="72" t="s">
        <v>815</v>
      </c>
      <c r="AG20" s="72" t="s">
        <v>815</v>
      </c>
      <c r="AH20" s="72" t="s">
        <v>815</v>
      </c>
      <c r="AI20" s="69" t="s">
        <v>42</v>
      </c>
      <c r="AJ20" s="72" t="s">
        <v>815</v>
      </c>
      <c r="AK20" s="72" t="s">
        <v>815</v>
      </c>
      <c r="AL20" s="72" t="s">
        <v>815</v>
      </c>
      <c r="AM20" s="69" t="s">
        <v>42</v>
      </c>
      <c r="AN20" s="72" t="s">
        <v>815</v>
      </c>
      <c r="AO20" s="72" t="s">
        <v>815</v>
      </c>
      <c r="AP20" s="72" t="s">
        <v>815</v>
      </c>
      <c r="AQ20" s="69" t="s">
        <v>42</v>
      </c>
      <c r="AR20" s="72" t="s">
        <v>816</v>
      </c>
      <c r="AS20" s="72" t="s">
        <v>816</v>
      </c>
      <c r="AT20" s="72" t="s">
        <v>816</v>
      </c>
    </row>
    <row r="21" spans="1:46" ht="21.75" customHeight="1" x14ac:dyDescent="0.2">
      <c r="A21" s="67" t="s">
        <v>817</v>
      </c>
      <c r="B21" s="68" t="s">
        <v>818</v>
      </c>
      <c r="C21" s="69" t="s">
        <v>42</v>
      </c>
      <c r="D21" s="70" t="s">
        <v>189</v>
      </c>
      <c r="E21" s="70" t="s">
        <v>189</v>
      </c>
      <c r="F21" s="70" t="s">
        <v>615</v>
      </c>
      <c r="G21" s="69" t="s">
        <v>42</v>
      </c>
      <c r="H21" s="70" t="s">
        <v>189</v>
      </c>
      <c r="I21" s="70" t="s">
        <v>189</v>
      </c>
      <c r="J21" s="70" t="s">
        <v>615</v>
      </c>
      <c r="K21" s="69" t="s">
        <v>42</v>
      </c>
      <c r="L21" s="70" t="s">
        <v>189</v>
      </c>
      <c r="M21" s="70" t="s">
        <v>189</v>
      </c>
      <c r="N21" s="70" t="s">
        <v>615</v>
      </c>
      <c r="O21" s="69" t="s">
        <v>42</v>
      </c>
      <c r="P21" s="70" t="s">
        <v>189</v>
      </c>
      <c r="Q21" s="70" t="s">
        <v>189</v>
      </c>
      <c r="R21" s="70" t="s">
        <v>615</v>
      </c>
      <c r="S21" s="69" t="s">
        <v>42</v>
      </c>
      <c r="T21" s="70" t="s">
        <v>189</v>
      </c>
      <c r="U21" s="70" t="s">
        <v>189</v>
      </c>
      <c r="V21" s="70" t="s">
        <v>615</v>
      </c>
      <c r="W21" s="69" t="s">
        <v>42</v>
      </c>
      <c r="X21" s="70" t="s">
        <v>189</v>
      </c>
      <c r="Y21" s="70" t="s">
        <v>189</v>
      </c>
      <c r="Z21" s="70" t="s">
        <v>615</v>
      </c>
      <c r="AA21" s="69" t="s">
        <v>42</v>
      </c>
      <c r="AB21" s="70" t="s">
        <v>189</v>
      </c>
      <c r="AC21" s="70" t="s">
        <v>189</v>
      </c>
      <c r="AD21" s="70" t="s">
        <v>615</v>
      </c>
      <c r="AE21" s="69" t="s">
        <v>42</v>
      </c>
      <c r="AF21" s="70" t="s">
        <v>189</v>
      </c>
      <c r="AG21" s="70" t="s">
        <v>189</v>
      </c>
      <c r="AH21" s="70" t="s">
        <v>615</v>
      </c>
      <c r="AI21" s="69" t="s">
        <v>42</v>
      </c>
      <c r="AJ21" s="70" t="s">
        <v>189</v>
      </c>
      <c r="AK21" s="70" t="s">
        <v>189</v>
      </c>
      <c r="AL21" s="70" t="s">
        <v>615</v>
      </c>
      <c r="AM21" s="69" t="s">
        <v>42</v>
      </c>
      <c r="AN21" s="70" t="s">
        <v>189</v>
      </c>
      <c r="AO21" s="70" t="s">
        <v>189</v>
      </c>
      <c r="AP21" s="70" t="s">
        <v>615</v>
      </c>
      <c r="AQ21" s="69" t="s">
        <v>42</v>
      </c>
      <c r="AR21" s="70" t="s">
        <v>189</v>
      </c>
      <c r="AS21" s="70" t="s">
        <v>615</v>
      </c>
      <c r="AT21" s="70" t="s">
        <v>615</v>
      </c>
    </row>
    <row r="22" spans="1:46" ht="21.75" customHeight="1" x14ac:dyDescent="0.2">
      <c r="A22" s="71" t="s">
        <v>819</v>
      </c>
      <c r="B22" s="68" t="s">
        <v>618</v>
      </c>
      <c r="C22" s="69" t="s">
        <v>42</v>
      </c>
      <c r="D22" s="72" t="s">
        <v>618</v>
      </c>
      <c r="E22" s="72" t="s">
        <v>618</v>
      </c>
      <c r="F22" s="72" t="s">
        <v>820</v>
      </c>
      <c r="G22" s="69" t="s">
        <v>42</v>
      </c>
      <c r="H22" s="72" t="s">
        <v>618</v>
      </c>
      <c r="I22" s="72" t="s">
        <v>618</v>
      </c>
      <c r="J22" s="72" t="s">
        <v>820</v>
      </c>
      <c r="K22" s="69" t="s">
        <v>42</v>
      </c>
      <c r="L22" s="72" t="s">
        <v>618</v>
      </c>
      <c r="M22" s="72" t="s">
        <v>618</v>
      </c>
      <c r="N22" s="72" t="s">
        <v>820</v>
      </c>
      <c r="O22" s="69" t="s">
        <v>42</v>
      </c>
      <c r="P22" s="72" t="s">
        <v>618</v>
      </c>
      <c r="Q22" s="72" t="s">
        <v>618</v>
      </c>
      <c r="R22" s="72" t="s">
        <v>820</v>
      </c>
      <c r="S22" s="69" t="s">
        <v>42</v>
      </c>
      <c r="T22" s="72" t="s">
        <v>618</v>
      </c>
      <c r="U22" s="72" t="s">
        <v>618</v>
      </c>
      <c r="V22" s="72" t="s">
        <v>820</v>
      </c>
      <c r="W22" s="69" t="s">
        <v>42</v>
      </c>
      <c r="X22" s="72" t="s">
        <v>618</v>
      </c>
      <c r="Y22" s="72" t="s">
        <v>618</v>
      </c>
      <c r="Z22" s="72" t="s">
        <v>820</v>
      </c>
      <c r="AA22" s="69" t="s">
        <v>42</v>
      </c>
      <c r="AB22" s="72" t="s">
        <v>618</v>
      </c>
      <c r="AC22" s="72" t="s">
        <v>618</v>
      </c>
      <c r="AD22" s="72" t="s">
        <v>820</v>
      </c>
      <c r="AE22" s="69" t="s">
        <v>42</v>
      </c>
      <c r="AF22" s="72" t="s">
        <v>618</v>
      </c>
      <c r="AG22" s="72" t="s">
        <v>618</v>
      </c>
      <c r="AH22" s="72" t="s">
        <v>820</v>
      </c>
      <c r="AI22" s="69" t="s">
        <v>42</v>
      </c>
      <c r="AJ22" s="72" t="s">
        <v>618</v>
      </c>
      <c r="AK22" s="72" t="s">
        <v>618</v>
      </c>
      <c r="AL22" s="72" t="s">
        <v>820</v>
      </c>
      <c r="AM22" s="69" t="s">
        <v>42</v>
      </c>
      <c r="AN22" s="72" t="s">
        <v>618</v>
      </c>
      <c r="AO22" s="72" t="s">
        <v>618</v>
      </c>
      <c r="AP22" s="72" t="s">
        <v>820</v>
      </c>
      <c r="AQ22" s="69" t="s">
        <v>42</v>
      </c>
      <c r="AR22" s="72" t="s">
        <v>618</v>
      </c>
      <c r="AS22" s="72" t="s">
        <v>618</v>
      </c>
      <c r="AT22" s="72" t="s">
        <v>618</v>
      </c>
    </row>
    <row r="23" spans="1:46" ht="21.75" customHeight="1" x14ac:dyDescent="0.2">
      <c r="A23" s="67" t="s">
        <v>821</v>
      </c>
      <c r="B23" s="68" t="s">
        <v>561</v>
      </c>
      <c r="C23" s="69" t="s">
        <v>42</v>
      </c>
      <c r="D23" s="70" t="s">
        <v>822</v>
      </c>
      <c r="E23" s="70" t="s">
        <v>822</v>
      </c>
      <c r="F23" s="70" t="s">
        <v>822</v>
      </c>
      <c r="G23" s="69" t="s">
        <v>42</v>
      </c>
      <c r="H23" s="70" t="s">
        <v>822</v>
      </c>
      <c r="I23" s="70" t="s">
        <v>822</v>
      </c>
      <c r="J23" s="70" t="s">
        <v>822</v>
      </c>
      <c r="K23" s="69" t="s">
        <v>42</v>
      </c>
      <c r="L23" s="70" t="s">
        <v>822</v>
      </c>
      <c r="M23" s="70" t="s">
        <v>822</v>
      </c>
      <c r="N23" s="70" t="s">
        <v>822</v>
      </c>
      <c r="O23" s="69" t="s">
        <v>42</v>
      </c>
      <c r="P23" s="70" t="s">
        <v>822</v>
      </c>
      <c r="Q23" s="70" t="s">
        <v>822</v>
      </c>
      <c r="R23" s="70" t="s">
        <v>822</v>
      </c>
      <c r="S23" s="69" t="s">
        <v>42</v>
      </c>
      <c r="T23" s="70" t="s">
        <v>822</v>
      </c>
      <c r="U23" s="70" t="s">
        <v>822</v>
      </c>
      <c r="V23" s="70" t="s">
        <v>822</v>
      </c>
      <c r="W23" s="69" t="s">
        <v>42</v>
      </c>
      <c r="X23" s="70" t="s">
        <v>822</v>
      </c>
      <c r="Y23" s="70" t="s">
        <v>822</v>
      </c>
      <c r="Z23" s="70" t="s">
        <v>822</v>
      </c>
      <c r="AA23" s="69" t="s">
        <v>42</v>
      </c>
      <c r="AB23" s="70" t="s">
        <v>822</v>
      </c>
      <c r="AC23" s="70" t="s">
        <v>822</v>
      </c>
      <c r="AD23" s="70" t="s">
        <v>822</v>
      </c>
      <c r="AE23" s="69" t="s">
        <v>42</v>
      </c>
      <c r="AF23" s="70" t="s">
        <v>822</v>
      </c>
      <c r="AG23" s="70" t="s">
        <v>822</v>
      </c>
      <c r="AH23" s="70" t="s">
        <v>822</v>
      </c>
      <c r="AI23" s="69" t="s">
        <v>42</v>
      </c>
      <c r="AJ23" s="70" t="s">
        <v>822</v>
      </c>
      <c r="AK23" s="70" t="s">
        <v>822</v>
      </c>
      <c r="AL23" s="70" t="s">
        <v>822</v>
      </c>
      <c r="AM23" s="69" t="s">
        <v>42</v>
      </c>
      <c r="AN23" s="70" t="s">
        <v>822</v>
      </c>
      <c r="AO23" s="70" t="s">
        <v>822</v>
      </c>
      <c r="AP23" s="70" t="s">
        <v>822</v>
      </c>
      <c r="AQ23" s="69" t="s">
        <v>42</v>
      </c>
      <c r="AR23" s="70" t="s">
        <v>615</v>
      </c>
      <c r="AS23" s="70" t="s">
        <v>615</v>
      </c>
      <c r="AT23" s="70" t="s">
        <v>615</v>
      </c>
    </row>
  </sheetData>
  <mergeCells count="11">
    <mergeCell ref="AN1:AP1"/>
    <mergeCell ref="AR1:AT1"/>
    <mergeCell ref="D1:F1"/>
    <mergeCell ref="X1:Z1"/>
    <mergeCell ref="AB1:AD1"/>
    <mergeCell ref="H1:J1"/>
    <mergeCell ref="AF1:AH1"/>
    <mergeCell ref="L1:N1"/>
    <mergeCell ref="P1:R1"/>
    <mergeCell ref="AJ1:AL1"/>
    <mergeCell ref="T1:V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8"/>
  <sheetViews>
    <sheetView zoomScaleNormal="100" workbookViewId="0">
      <pane ySplit="9" topLeftCell="A10" activePane="bottomLeft" state="frozen"/>
      <selection pane="bottomLeft" sqref="A1:G1"/>
    </sheetView>
  </sheetViews>
  <sheetFormatPr baseColWidth="10" defaultColWidth="8.83203125" defaultRowHeight="15" x14ac:dyDescent="0.2"/>
  <cols>
    <col min="1" max="1" width="26" customWidth="1"/>
    <col min="2" max="2" width="38" customWidth="1"/>
    <col min="3" max="6" width="22" customWidth="1"/>
    <col min="7" max="7" width="42" customWidth="1"/>
  </cols>
  <sheetData>
    <row r="1" spans="1:7" ht="31.5" customHeight="1" x14ac:dyDescent="0.2">
      <c r="A1" s="147" t="s">
        <v>556</v>
      </c>
      <c r="B1" s="146"/>
      <c r="C1" s="146"/>
      <c r="D1" s="146"/>
      <c r="E1" s="146"/>
      <c r="F1" s="146"/>
      <c r="G1" s="146"/>
    </row>
    <row r="2" spans="1:7" ht="15.75" customHeight="1" x14ac:dyDescent="0.2">
      <c r="A2" s="145" t="s">
        <v>557</v>
      </c>
      <c r="B2" s="146"/>
      <c r="C2" s="146"/>
      <c r="D2" s="146"/>
      <c r="E2" s="146"/>
      <c r="F2" s="146"/>
      <c r="G2" s="146"/>
    </row>
    <row r="3" spans="1:7" ht="9.75" customHeight="1" x14ac:dyDescent="0.2"/>
    <row r="4" spans="1:7" ht="25.5" customHeight="1" x14ac:dyDescent="0.2">
      <c r="A4" s="23"/>
      <c r="B4" s="23"/>
      <c r="C4" s="24" t="s">
        <v>558</v>
      </c>
      <c r="D4" s="25" t="s">
        <v>559</v>
      </c>
      <c r="E4" s="26" t="s">
        <v>560</v>
      </c>
      <c r="F4" s="27" t="s">
        <v>561</v>
      </c>
    </row>
    <row r="5" spans="1:7" ht="39.75" customHeight="1" x14ac:dyDescent="0.2">
      <c r="A5" s="23"/>
      <c r="B5" s="23"/>
      <c r="C5" s="28" t="s">
        <v>562</v>
      </c>
      <c r="D5" s="29" t="s">
        <v>563</v>
      </c>
      <c r="E5" s="29" t="s">
        <v>564</v>
      </c>
      <c r="F5" s="29" t="s">
        <v>565</v>
      </c>
    </row>
    <row r="6" spans="1:7" ht="18" customHeight="1" x14ac:dyDescent="0.2">
      <c r="A6" s="23"/>
      <c r="B6" s="23"/>
      <c r="C6" s="30" t="s">
        <v>566</v>
      </c>
      <c r="D6" s="30" t="s">
        <v>567</v>
      </c>
      <c r="E6" s="30" t="s">
        <v>568</v>
      </c>
      <c r="F6" s="31" t="s">
        <v>569</v>
      </c>
    </row>
    <row r="7" spans="1:7" ht="15.75" customHeight="1" x14ac:dyDescent="0.2">
      <c r="A7" s="23"/>
      <c r="B7" s="23"/>
      <c r="C7" s="32" t="s">
        <v>570</v>
      </c>
      <c r="D7" s="32" t="s">
        <v>571</v>
      </c>
      <c r="E7" s="32" t="s">
        <v>572</v>
      </c>
      <c r="F7" s="32" t="s">
        <v>573</v>
      </c>
    </row>
    <row r="8" spans="1:7" ht="9.75" customHeight="1" x14ac:dyDescent="0.2"/>
    <row r="9" spans="1:7" ht="19.5" customHeight="1" x14ac:dyDescent="0.2">
      <c r="A9" s="33" t="s">
        <v>221</v>
      </c>
      <c r="B9" s="33" t="s">
        <v>222</v>
      </c>
      <c r="C9" s="34" t="s">
        <v>558</v>
      </c>
      <c r="D9" s="35" t="s">
        <v>559</v>
      </c>
      <c r="E9" s="36" t="s">
        <v>560</v>
      </c>
      <c r="F9" s="37" t="s">
        <v>561</v>
      </c>
      <c r="G9" s="38" t="s">
        <v>574</v>
      </c>
    </row>
    <row r="10" spans="1:7" ht="19.5" customHeight="1" x14ac:dyDescent="0.2">
      <c r="A10" s="151" t="s">
        <v>575</v>
      </c>
      <c r="B10" s="146"/>
      <c r="C10" s="146"/>
      <c r="D10" s="146"/>
      <c r="E10" s="146"/>
      <c r="F10" s="146"/>
      <c r="G10" s="146"/>
    </row>
    <row r="11" spans="1:7" ht="30" customHeight="1" x14ac:dyDescent="0.2">
      <c r="A11" s="39" t="s">
        <v>576</v>
      </c>
      <c r="B11" s="40" t="s">
        <v>577</v>
      </c>
      <c r="C11" s="41" t="s">
        <v>578</v>
      </c>
      <c r="D11" s="42" t="s">
        <v>25</v>
      </c>
      <c r="E11" s="42" t="s">
        <v>25</v>
      </c>
      <c r="F11" s="42" t="s">
        <v>25</v>
      </c>
      <c r="G11" s="43"/>
    </row>
    <row r="12" spans="1:7" ht="30" customHeight="1" x14ac:dyDescent="0.2">
      <c r="A12" s="44" t="s">
        <v>576</v>
      </c>
      <c r="B12" s="45" t="s">
        <v>579</v>
      </c>
      <c r="C12" s="46" t="s">
        <v>26</v>
      </c>
      <c r="D12" s="46" t="s">
        <v>26</v>
      </c>
      <c r="E12" s="46" t="s">
        <v>26</v>
      </c>
      <c r="F12" s="47" t="s">
        <v>13</v>
      </c>
      <c r="G12" s="48" t="s">
        <v>580</v>
      </c>
    </row>
    <row r="13" spans="1:7" ht="30" customHeight="1" x14ac:dyDescent="0.2">
      <c r="A13" s="39" t="s">
        <v>576</v>
      </c>
      <c r="B13" s="40" t="s">
        <v>581</v>
      </c>
      <c r="C13" s="49" t="s">
        <v>26</v>
      </c>
      <c r="D13" s="49" t="s">
        <v>26</v>
      </c>
      <c r="E13" s="49" t="s">
        <v>26</v>
      </c>
      <c r="F13" s="49" t="s">
        <v>26</v>
      </c>
      <c r="G13" s="48" t="s">
        <v>582</v>
      </c>
    </row>
    <row r="14" spans="1:7" ht="19.5" customHeight="1" x14ac:dyDescent="0.2">
      <c r="A14" s="151" t="s">
        <v>583</v>
      </c>
      <c r="B14" s="146"/>
      <c r="C14" s="146"/>
      <c r="D14" s="146"/>
      <c r="E14" s="146"/>
      <c r="F14" s="146"/>
      <c r="G14" s="146"/>
    </row>
    <row r="15" spans="1:7" ht="30" customHeight="1" x14ac:dyDescent="0.2">
      <c r="A15" s="44" t="s">
        <v>584</v>
      </c>
      <c r="B15" s="45" t="s">
        <v>585</v>
      </c>
      <c r="C15" s="47" t="s">
        <v>586</v>
      </c>
      <c r="D15" s="47" t="s">
        <v>587</v>
      </c>
      <c r="E15" s="47" t="s">
        <v>45</v>
      </c>
      <c r="F15" s="47" t="s">
        <v>13</v>
      </c>
      <c r="G15" s="48" t="s">
        <v>588</v>
      </c>
    </row>
    <row r="16" spans="1:7" ht="30" customHeight="1" x14ac:dyDescent="0.2">
      <c r="A16" s="39" t="s">
        <v>584</v>
      </c>
      <c r="B16" s="40" t="s">
        <v>41</v>
      </c>
      <c r="C16" s="41" t="s">
        <v>39</v>
      </c>
      <c r="D16" s="41" t="s">
        <v>589</v>
      </c>
      <c r="E16" s="41" t="s">
        <v>590</v>
      </c>
      <c r="F16" s="41" t="s">
        <v>13</v>
      </c>
      <c r="G16" s="48" t="s">
        <v>591</v>
      </c>
    </row>
    <row r="17" spans="1:7" ht="30" customHeight="1" x14ac:dyDescent="0.2">
      <c r="A17" s="44" t="s">
        <v>584</v>
      </c>
      <c r="B17" s="45" t="s">
        <v>592</v>
      </c>
      <c r="C17" s="47" t="s">
        <v>36</v>
      </c>
      <c r="D17" s="47" t="s">
        <v>593</v>
      </c>
      <c r="E17" s="47" t="s">
        <v>593</v>
      </c>
      <c r="F17" s="47" t="s">
        <v>13</v>
      </c>
      <c r="G17" s="43"/>
    </row>
    <row r="18" spans="1:7" ht="30" customHeight="1" x14ac:dyDescent="0.2">
      <c r="A18" s="39" t="s">
        <v>584</v>
      </c>
      <c r="B18" s="40" t="s">
        <v>50</v>
      </c>
      <c r="C18" s="42" t="s">
        <v>25</v>
      </c>
      <c r="D18" s="49" t="s">
        <v>26</v>
      </c>
      <c r="E18" s="49" t="s">
        <v>26</v>
      </c>
      <c r="F18" s="49" t="s">
        <v>26</v>
      </c>
      <c r="G18" s="48" t="s">
        <v>594</v>
      </c>
    </row>
    <row r="19" spans="1:7" ht="30" customHeight="1" x14ac:dyDescent="0.2">
      <c r="A19" s="44" t="s">
        <v>584</v>
      </c>
      <c r="B19" s="45" t="s">
        <v>52</v>
      </c>
      <c r="C19" s="50" t="s">
        <v>25</v>
      </c>
      <c r="D19" s="46" t="s">
        <v>26</v>
      </c>
      <c r="E19" s="46" t="s">
        <v>26</v>
      </c>
      <c r="F19" s="46" t="s">
        <v>26</v>
      </c>
      <c r="G19" s="43"/>
    </row>
    <row r="20" spans="1:7" ht="30" customHeight="1" x14ac:dyDescent="0.2">
      <c r="A20" s="39" t="s">
        <v>584</v>
      </c>
      <c r="B20" s="40" t="s">
        <v>54</v>
      </c>
      <c r="C20" s="42" t="s">
        <v>25</v>
      </c>
      <c r="D20" s="49" t="s">
        <v>26</v>
      </c>
      <c r="E20" s="49" t="s">
        <v>26</v>
      </c>
      <c r="F20" s="49" t="s">
        <v>26</v>
      </c>
      <c r="G20" s="43"/>
    </row>
    <row r="21" spans="1:7" ht="30" customHeight="1" x14ac:dyDescent="0.2">
      <c r="A21" s="44" t="s">
        <v>584</v>
      </c>
      <c r="B21" s="45" t="s">
        <v>595</v>
      </c>
      <c r="C21" s="50" t="s">
        <v>25</v>
      </c>
      <c r="D21" s="51" t="s">
        <v>189</v>
      </c>
      <c r="E21" s="46" t="s">
        <v>26</v>
      </c>
      <c r="F21" s="46" t="s">
        <v>26</v>
      </c>
      <c r="G21" s="43"/>
    </row>
    <row r="22" spans="1:7" ht="19.5" customHeight="1" x14ac:dyDescent="0.2">
      <c r="A22" s="151" t="s">
        <v>596</v>
      </c>
      <c r="B22" s="146"/>
      <c r="C22" s="146"/>
      <c r="D22" s="146"/>
      <c r="E22" s="146"/>
      <c r="F22" s="146"/>
      <c r="G22" s="146"/>
    </row>
    <row r="23" spans="1:7" ht="30" customHeight="1" x14ac:dyDescent="0.2">
      <c r="A23" s="39" t="s">
        <v>597</v>
      </c>
      <c r="B23" s="40" t="s">
        <v>598</v>
      </c>
      <c r="C23" s="41" t="s">
        <v>599</v>
      </c>
      <c r="D23" s="41" t="s">
        <v>600</v>
      </c>
      <c r="E23" s="41" t="s">
        <v>601</v>
      </c>
      <c r="F23" s="41" t="s">
        <v>13</v>
      </c>
      <c r="G23" s="48" t="s">
        <v>602</v>
      </c>
    </row>
    <row r="24" spans="1:7" ht="30" customHeight="1" x14ac:dyDescent="0.2">
      <c r="A24" s="44" t="s">
        <v>597</v>
      </c>
      <c r="B24" s="45" t="s">
        <v>47</v>
      </c>
      <c r="C24" s="46" t="s">
        <v>26</v>
      </c>
      <c r="D24" s="46" t="s">
        <v>26</v>
      </c>
      <c r="E24" s="46" t="s">
        <v>26</v>
      </c>
      <c r="F24" s="46" t="s">
        <v>26</v>
      </c>
      <c r="G24" s="43"/>
    </row>
    <row r="25" spans="1:7" ht="30" customHeight="1" x14ac:dyDescent="0.2">
      <c r="A25" s="39" t="s">
        <v>597</v>
      </c>
      <c r="B25" s="40" t="s">
        <v>49</v>
      </c>
      <c r="C25" s="49" t="s">
        <v>26</v>
      </c>
      <c r="D25" s="49" t="s">
        <v>26</v>
      </c>
      <c r="E25" s="49" t="s">
        <v>26</v>
      </c>
      <c r="F25" s="49" t="s">
        <v>26</v>
      </c>
      <c r="G25" s="43"/>
    </row>
    <row r="26" spans="1:7" ht="30" customHeight="1" x14ac:dyDescent="0.2">
      <c r="A26" s="44" t="s">
        <v>597</v>
      </c>
      <c r="B26" s="45" t="s">
        <v>603</v>
      </c>
      <c r="C26" s="50" t="s">
        <v>25</v>
      </c>
      <c r="D26" s="46" t="s">
        <v>26</v>
      </c>
      <c r="E26" s="46" t="s">
        <v>26</v>
      </c>
      <c r="F26" s="46" t="s">
        <v>26</v>
      </c>
      <c r="G26" s="48" t="s">
        <v>604</v>
      </c>
    </row>
    <row r="27" spans="1:7" ht="30" customHeight="1" x14ac:dyDescent="0.2">
      <c r="A27" s="39" t="s">
        <v>597</v>
      </c>
      <c r="B27" s="40" t="s">
        <v>605</v>
      </c>
      <c r="C27" s="42" t="s">
        <v>25</v>
      </c>
      <c r="D27" s="49" t="s">
        <v>26</v>
      </c>
      <c r="E27" s="49" t="s">
        <v>26</v>
      </c>
      <c r="F27" s="49" t="s">
        <v>26</v>
      </c>
      <c r="G27" s="43"/>
    </row>
    <row r="28" spans="1:7" ht="30" customHeight="1" x14ac:dyDescent="0.2">
      <c r="A28" s="44" t="s">
        <v>597</v>
      </c>
      <c r="B28" s="45" t="s">
        <v>182</v>
      </c>
      <c r="C28" s="50" t="s">
        <v>25</v>
      </c>
      <c r="D28" s="46" t="s">
        <v>26</v>
      </c>
      <c r="E28" s="46" t="s">
        <v>26</v>
      </c>
      <c r="F28" s="46" t="s">
        <v>26</v>
      </c>
      <c r="G28" s="43"/>
    </row>
    <row r="29" spans="1:7" ht="19.5" customHeight="1" x14ac:dyDescent="0.2">
      <c r="A29" s="151" t="s">
        <v>606</v>
      </c>
      <c r="B29" s="146"/>
      <c r="C29" s="146"/>
      <c r="D29" s="146"/>
      <c r="E29" s="146"/>
      <c r="F29" s="146"/>
      <c r="G29" s="146"/>
    </row>
    <row r="30" spans="1:7" ht="30" customHeight="1" x14ac:dyDescent="0.2">
      <c r="A30" s="39" t="s">
        <v>607</v>
      </c>
      <c r="B30" s="40" t="s">
        <v>101</v>
      </c>
      <c r="C30" s="41" t="s">
        <v>608</v>
      </c>
      <c r="D30" s="41" t="s">
        <v>609</v>
      </c>
      <c r="E30" s="41" t="s">
        <v>610</v>
      </c>
      <c r="F30" s="41" t="s">
        <v>13</v>
      </c>
      <c r="G30" s="48" t="s">
        <v>611</v>
      </c>
    </row>
    <row r="31" spans="1:7" ht="30" customHeight="1" x14ac:dyDescent="0.2">
      <c r="A31" s="44" t="s">
        <v>607</v>
      </c>
      <c r="B31" s="45" t="s">
        <v>103</v>
      </c>
      <c r="C31" s="50" t="s">
        <v>25</v>
      </c>
      <c r="D31" s="46" t="s">
        <v>26</v>
      </c>
      <c r="E31" s="46" t="s">
        <v>26</v>
      </c>
      <c r="F31" s="46" t="s">
        <v>26</v>
      </c>
      <c r="G31" s="48" t="s">
        <v>612</v>
      </c>
    </row>
    <row r="32" spans="1:7" ht="30" customHeight="1" x14ac:dyDescent="0.2">
      <c r="A32" s="39" t="s">
        <v>607</v>
      </c>
      <c r="B32" s="40" t="s">
        <v>109</v>
      </c>
      <c r="C32" s="42" t="s">
        <v>25</v>
      </c>
      <c r="D32" s="49" t="s">
        <v>26</v>
      </c>
      <c r="E32" s="49" t="s">
        <v>26</v>
      </c>
      <c r="F32" s="49" t="s">
        <v>26</v>
      </c>
      <c r="G32" s="43"/>
    </row>
    <row r="33" spans="1:7" ht="30" customHeight="1" x14ac:dyDescent="0.2">
      <c r="A33" s="44" t="s">
        <v>607</v>
      </c>
      <c r="B33" s="45" t="s">
        <v>105</v>
      </c>
      <c r="C33" s="50" t="s">
        <v>25</v>
      </c>
      <c r="D33" s="50" t="s">
        <v>25</v>
      </c>
      <c r="E33" s="46" t="s">
        <v>26</v>
      </c>
      <c r="F33" s="46" t="s">
        <v>26</v>
      </c>
      <c r="G33" s="48" t="s">
        <v>613</v>
      </c>
    </row>
    <row r="34" spans="1:7" ht="30" customHeight="1" x14ac:dyDescent="0.2">
      <c r="A34" s="39" t="s">
        <v>607</v>
      </c>
      <c r="B34" s="40" t="s">
        <v>614</v>
      </c>
      <c r="C34" s="42" t="s">
        <v>25</v>
      </c>
      <c r="D34" s="42" t="s">
        <v>25</v>
      </c>
      <c r="E34" s="41" t="s">
        <v>615</v>
      </c>
      <c r="F34" s="41" t="s">
        <v>13</v>
      </c>
      <c r="G34" s="48" t="s">
        <v>616</v>
      </c>
    </row>
    <row r="35" spans="1:7" ht="30" customHeight="1" x14ac:dyDescent="0.2">
      <c r="A35" s="44" t="s">
        <v>607</v>
      </c>
      <c r="B35" s="45" t="s">
        <v>617</v>
      </c>
      <c r="C35" s="52" t="s">
        <v>618</v>
      </c>
      <c r="D35" s="52" t="s">
        <v>618</v>
      </c>
      <c r="E35" s="52" t="s">
        <v>618</v>
      </c>
      <c r="F35" s="52" t="s">
        <v>618</v>
      </c>
      <c r="G35" s="48" t="s">
        <v>619</v>
      </c>
    </row>
    <row r="36" spans="1:7" ht="30" customHeight="1" x14ac:dyDescent="0.2">
      <c r="A36" s="39" t="s">
        <v>607</v>
      </c>
      <c r="B36" s="40" t="s">
        <v>620</v>
      </c>
      <c r="C36" s="52" t="s">
        <v>618</v>
      </c>
      <c r="D36" s="52" t="s">
        <v>618</v>
      </c>
      <c r="E36" s="52" t="s">
        <v>618</v>
      </c>
      <c r="F36" s="52" t="s">
        <v>618</v>
      </c>
      <c r="G36" s="48" t="s">
        <v>621</v>
      </c>
    </row>
    <row r="37" spans="1:7" ht="30" customHeight="1" x14ac:dyDescent="0.2">
      <c r="A37" s="44" t="s">
        <v>607</v>
      </c>
      <c r="B37" s="45" t="s">
        <v>622</v>
      </c>
      <c r="C37" s="47" t="s">
        <v>623</v>
      </c>
      <c r="D37" s="47" t="s">
        <v>624</v>
      </c>
      <c r="E37" s="47" t="s">
        <v>625</v>
      </c>
      <c r="F37" s="47" t="s">
        <v>13</v>
      </c>
      <c r="G37" s="43"/>
    </row>
    <row r="38" spans="1:7" ht="19.5" customHeight="1" x14ac:dyDescent="0.2">
      <c r="A38" s="151" t="s">
        <v>626</v>
      </c>
      <c r="B38" s="146"/>
      <c r="C38" s="146"/>
      <c r="D38" s="146"/>
      <c r="E38" s="146"/>
      <c r="F38" s="146"/>
      <c r="G38" s="146"/>
    </row>
    <row r="39" spans="1:7" ht="30" customHeight="1" x14ac:dyDescent="0.2">
      <c r="A39" s="39" t="s">
        <v>627</v>
      </c>
      <c r="B39" s="40" t="s">
        <v>628</v>
      </c>
      <c r="C39" s="41" t="s">
        <v>629</v>
      </c>
      <c r="D39" s="41" t="s">
        <v>630</v>
      </c>
      <c r="E39" s="41" t="s">
        <v>631</v>
      </c>
      <c r="F39" s="41" t="s">
        <v>632</v>
      </c>
      <c r="G39" s="48" t="s">
        <v>633</v>
      </c>
    </row>
    <row r="40" spans="1:7" ht="30" customHeight="1" x14ac:dyDescent="0.2">
      <c r="A40" s="44" t="s">
        <v>627</v>
      </c>
      <c r="B40" s="45" t="s">
        <v>634</v>
      </c>
      <c r="C40" s="46" t="s">
        <v>26</v>
      </c>
      <c r="D40" s="46" t="s">
        <v>26</v>
      </c>
      <c r="E40" s="46" t="s">
        <v>26</v>
      </c>
      <c r="F40" s="46" t="s">
        <v>26</v>
      </c>
      <c r="G40" s="43"/>
    </row>
    <row r="41" spans="1:7" ht="30" customHeight="1" x14ac:dyDescent="0.2">
      <c r="A41" s="39" t="s">
        <v>627</v>
      </c>
      <c r="B41" s="40" t="s">
        <v>71</v>
      </c>
      <c r="C41" s="49" t="s">
        <v>26</v>
      </c>
      <c r="D41" s="49" t="s">
        <v>26</v>
      </c>
      <c r="E41" s="49" t="s">
        <v>26</v>
      </c>
      <c r="F41" s="49" t="s">
        <v>26</v>
      </c>
      <c r="G41" s="43"/>
    </row>
    <row r="42" spans="1:7" ht="30" customHeight="1" x14ac:dyDescent="0.2">
      <c r="A42" s="44" t="s">
        <v>627</v>
      </c>
      <c r="B42" s="45" t="s">
        <v>635</v>
      </c>
      <c r="C42" s="50" t="s">
        <v>25</v>
      </c>
      <c r="D42" s="47" t="s">
        <v>636</v>
      </c>
      <c r="E42" s="47" t="s">
        <v>637</v>
      </c>
      <c r="F42" s="47" t="s">
        <v>13</v>
      </c>
      <c r="G42" s="48" t="s">
        <v>638</v>
      </c>
    </row>
    <row r="43" spans="1:7" ht="30" customHeight="1" x14ac:dyDescent="0.2">
      <c r="A43" s="39" t="s">
        <v>627</v>
      </c>
      <c r="B43" s="40" t="s">
        <v>639</v>
      </c>
      <c r="C43" s="42" t="s">
        <v>25</v>
      </c>
      <c r="D43" s="49" t="s">
        <v>26</v>
      </c>
      <c r="E43" s="49" t="s">
        <v>26</v>
      </c>
      <c r="F43" s="49" t="s">
        <v>26</v>
      </c>
      <c r="G43" s="43"/>
    </row>
    <row r="44" spans="1:7" ht="30" customHeight="1" x14ac:dyDescent="0.2">
      <c r="A44" s="44" t="s">
        <v>627</v>
      </c>
      <c r="B44" s="45" t="s">
        <v>73</v>
      </c>
      <c r="C44" s="46" t="s">
        <v>26</v>
      </c>
      <c r="D44" s="46" t="s">
        <v>26</v>
      </c>
      <c r="E44" s="46" t="s">
        <v>26</v>
      </c>
      <c r="F44" s="46" t="s">
        <v>26</v>
      </c>
      <c r="G44" s="43"/>
    </row>
    <row r="45" spans="1:7" ht="30" customHeight="1" x14ac:dyDescent="0.2">
      <c r="A45" s="39" t="s">
        <v>627</v>
      </c>
      <c r="B45" s="40" t="s">
        <v>640</v>
      </c>
      <c r="C45" s="49" t="s">
        <v>26</v>
      </c>
      <c r="D45" s="49" t="s">
        <v>26</v>
      </c>
      <c r="E45" s="49" t="s">
        <v>26</v>
      </c>
      <c r="F45" s="49" t="s">
        <v>26</v>
      </c>
      <c r="G45" s="43"/>
    </row>
    <row r="46" spans="1:7" ht="30" customHeight="1" x14ac:dyDescent="0.2">
      <c r="A46" s="44" t="s">
        <v>627</v>
      </c>
      <c r="B46" s="45" t="s">
        <v>641</v>
      </c>
      <c r="C46" s="50" t="s">
        <v>25</v>
      </c>
      <c r="D46" s="50" t="s">
        <v>25</v>
      </c>
      <c r="E46" s="46" t="s">
        <v>26</v>
      </c>
      <c r="F46" s="46" t="s">
        <v>26</v>
      </c>
      <c r="G46" s="48" t="s">
        <v>642</v>
      </c>
    </row>
    <row r="47" spans="1:7" ht="30" customHeight="1" x14ac:dyDescent="0.2">
      <c r="A47" s="39" t="s">
        <v>627</v>
      </c>
      <c r="B47" s="40" t="s">
        <v>78</v>
      </c>
      <c r="C47" s="42" t="s">
        <v>25</v>
      </c>
      <c r="D47" s="49" t="s">
        <v>26</v>
      </c>
      <c r="E47" s="49" t="s">
        <v>26</v>
      </c>
      <c r="F47" s="49" t="s">
        <v>26</v>
      </c>
      <c r="G47" s="43"/>
    </row>
    <row r="48" spans="1:7" ht="19.5" customHeight="1" x14ac:dyDescent="0.2">
      <c r="A48" s="151" t="s">
        <v>643</v>
      </c>
      <c r="B48" s="146"/>
      <c r="C48" s="146"/>
      <c r="D48" s="146"/>
      <c r="E48" s="146"/>
      <c r="F48" s="146"/>
      <c r="G48" s="146"/>
    </row>
    <row r="49" spans="1:7" ht="30" customHeight="1" x14ac:dyDescent="0.2">
      <c r="A49" s="44" t="s">
        <v>644</v>
      </c>
      <c r="B49" s="45" t="s">
        <v>94</v>
      </c>
      <c r="C49" s="47" t="s">
        <v>39</v>
      </c>
      <c r="D49" s="47" t="s">
        <v>175</v>
      </c>
      <c r="E49" s="47" t="s">
        <v>645</v>
      </c>
      <c r="F49" s="47" t="s">
        <v>45</v>
      </c>
      <c r="G49" s="48" t="s">
        <v>646</v>
      </c>
    </row>
    <row r="50" spans="1:7" ht="30" customHeight="1" x14ac:dyDescent="0.2">
      <c r="A50" s="39" t="s">
        <v>644</v>
      </c>
      <c r="B50" s="40" t="s">
        <v>96</v>
      </c>
      <c r="C50" s="49" t="s">
        <v>26</v>
      </c>
      <c r="D50" s="49" t="s">
        <v>26</v>
      </c>
      <c r="E50" s="49" t="s">
        <v>26</v>
      </c>
      <c r="F50" s="49" t="s">
        <v>26</v>
      </c>
      <c r="G50" s="43"/>
    </row>
    <row r="51" spans="1:7" ht="30" customHeight="1" x14ac:dyDescent="0.2">
      <c r="A51" s="44" t="s">
        <v>644</v>
      </c>
      <c r="B51" s="45" t="s">
        <v>647</v>
      </c>
      <c r="C51" s="50" t="s">
        <v>25</v>
      </c>
      <c r="D51" s="46" t="s">
        <v>26</v>
      </c>
      <c r="E51" s="46" t="s">
        <v>26</v>
      </c>
      <c r="F51" s="46" t="s">
        <v>26</v>
      </c>
      <c r="G51" s="48" t="s">
        <v>648</v>
      </c>
    </row>
    <row r="52" spans="1:7" ht="19.5" customHeight="1" x14ac:dyDescent="0.2">
      <c r="A52" s="151" t="s">
        <v>649</v>
      </c>
      <c r="B52" s="146"/>
      <c r="C52" s="146"/>
      <c r="D52" s="146"/>
      <c r="E52" s="146"/>
      <c r="F52" s="146"/>
      <c r="G52" s="146"/>
    </row>
    <row r="53" spans="1:7" ht="30" customHeight="1" x14ac:dyDescent="0.2">
      <c r="A53" s="39" t="s">
        <v>301</v>
      </c>
      <c r="B53" s="40" t="s">
        <v>115</v>
      </c>
      <c r="C53" s="42" t="s">
        <v>25</v>
      </c>
      <c r="D53" s="49" t="s">
        <v>26</v>
      </c>
      <c r="E53" s="49" t="s">
        <v>26</v>
      </c>
      <c r="F53" s="49" t="s">
        <v>26</v>
      </c>
      <c r="G53" s="48" t="s">
        <v>650</v>
      </c>
    </row>
    <row r="54" spans="1:7" ht="30" customHeight="1" x14ac:dyDescent="0.2">
      <c r="A54" s="44" t="s">
        <v>301</v>
      </c>
      <c r="B54" s="45" t="s">
        <v>117</v>
      </c>
      <c r="C54" s="50" t="s">
        <v>25</v>
      </c>
      <c r="D54" s="46" t="s">
        <v>26</v>
      </c>
      <c r="E54" s="46" t="s">
        <v>26</v>
      </c>
      <c r="F54" s="46" t="s">
        <v>26</v>
      </c>
      <c r="G54" s="48" t="s">
        <v>651</v>
      </c>
    </row>
    <row r="55" spans="1:7" ht="30" customHeight="1" x14ac:dyDescent="0.2">
      <c r="A55" s="39" t="s">
        <v>301</v>
      </c>
      <c r="B55" s="40" t="s">
        <v>118</v>
      </c>
      <c r="C55" s="42" t="s">
        <v>25</v>
      </c>
      <c r="D55" s="42" t="s">
        <v>25</v>
      </c>
      <c r="E55" s="49" t="s">
        <v>26</v>
      </c>
      <c r="F55" s="49" t="s">
        <v>26</v>
      </c>
      <c r="G55" s="43"/>
    </row>
    <row r="56" spans="1:7" ht="30" customHeight="1" x14ac:dyDescent="0.2">
      <c r="A56" s="44" t="s">
        <v>301</v>
      </c>
      <c r="B56" s="45" t="s">
        <v>652</v>
      </c>
      <c r="C56" s="50" t="s">
        <v>25</v>
      </c>
      <c r="D56" s="50" t="s">
        <v>25</v>
      </c>
      <c r="E56" s="46" t="s">
        <v>26</v>
      </c>
      <c r="F56" s="46" t="s">
        <v>26</v>
      </c>
      <c r="G56" s="43"/>
    </row>
    <row r="57" spans="1:7" ht="30" customHeight="1" x14ac:dyDescent="0.2">
      <c r="A57" s="39" t="s">
        <v>301</v>
      </c>
      <c r="B57" s="40" t="s">
        <v>653</v>
      </c>
      <c r="C57" s="42" t="s">
        <v>25</v>
      </c>
      <c r="D57" s="49" t="s">
        <v>26</v>
      </c>
      <c r="E57" s="49" t="s">
        <v>26</v>
      </c>
      <c r="F57" s="49" t="s">
        <v>26</v>
      </c>
      <c r="G57" s="43"/>
    </row>
    <row r="58" spans="1:7" ht="19.5" customHeight="1" x14ac:dyDescent="0.2">
      <c r="A58" s="151" t="s">
        <v>654</v>
      </c>
      <c r="B58" s="146"/>
      <c r="C58" s="146"/>
      <c r="D58" s="146"/>
      <c r="E58" s="146"/>
      <c r="F58" s="146"/>
      <c r="G58" s="146"/>
    </row>
    <row r="59" spans="1:7" ht="30" customHeight="1" x14ac:dyDescent="0.2">
      <c r="A59" s="44" t="s">
        <v>397</v>
      </c>
      <c r="B59" s="45" t="s">
        <v>655</v>
      </c>
      <c r="C59" s="46" t="s">
        <v>26</v>
      </c>
      <c r="D59" s="46" t="s">
        <v>26</v>
      </c>
      <c r="E59" s="46" t="s">
        <v>26</v>
      </c>
      <c r="F59" s="46" t="s">
        <v>26</v>
      </c>
      <c r="G59" s="43"/>
    </row>
    <row r="60" spans="1:7" ht="30" customHeight="1" x14ac:dyDescent="0.2">
      <c r="A60" s="39" t="s">
        <v>397</v>
      </c>
      <c r="B60" s="40" t="s">
        <v>656</v>
      </c>
      <c r="C60" s="42" t="s">
        <v>25</v>
      </c>
      <c r="D60" s="49" t="s">
        <v>26</v>
      </c>
      <c r="E60" s="49" t="s">
        <v>26</v>
      </c>
      <c r="F60" s="49" t="s">
        <v>26</v>
      </c>
      <c r="G60" s="48" t="s">
        <v>657</v>
      </c>
    </row>
    <row r="61" spans="1:7" ht="30" customHeight="1" x14ac:dyDescent="0.2">
      <c r="A61" s="44" t="s">
        <v>397</v>
      </c>
      <c r="B61" s="45" t="s">
        <v>658</v>
      </c>
      <c r="C61" s="50" t="s">
        <v>25</v>
      </c>
      <c r="D61" s="50" t="s">
        <v>25</v>
      </c>
      <c r="E61" s="46" t="s">
        <v>26</v>
      </c>
      <c r="F61" s="46" t="s">
        <v>26</v>
      </c>
      <c r="G61" s="48" t="s">
        <v>659</v>
      </c>
    </row>
    <row r="62" spans="1:7" ht="30" customHeight="1" x14ac:dyDescent="0.2">
      <c r="A62" s="39" t="s">
        <v>397</v>
      </c>
      <c r="B62" s="40" t="s">
        <v>660</v>
      </c>
      <c r="C62" s="42" t="s">
        <v>25</v>
      </c>
      <c r="D62" s="49" t="s">
        <v>26</v>
      </c>
      <c r="E62" s="49" t="s">
        <v>26</v>
      </c>
      <c r="F62" s="49" t="s">
        <v>26</v>
      </c>
      <c r="G62" s="43"/>
    </row>
    <row r="63" spans="1:7" ht="19.5" customHeight="1" x14ac:dyDescent="0.2">
      <c r="A63" s="151" t="s">
        <v>661</v>
      </c>
      <c r="B63" s="146"/>
      <c r="C63" s="146"/>
      <c r="D63" s="146"/>
      <c r="E63" s="146"/>
      <c r="F63" s="146"/>
      <c r="G63" s="146"/>
    </row>
    <row r="64" spans="1:7" ht="30" customHeight="1" x14ac:dyDescent="0.2">
      <c r="A64" s="44" t="s">
        <v>662</v>
      </c>
      <c r="B64" s="45" t="s">
        <v>663</v>
      </c>
      <c r="C64" s="46" t="s">
        <v>26</v>
      </c>
      <c r="D64" s="46" t="s">
        <v>26</v>
      </c>
      <c r="E64" s="46" t="s">
        <v>26</v>
      </c>
      <c r="F64" s="46" t="s">
        <v>26</v>
      </c>
      <c r="G64" s="43"/>
    </row>
    <row r="65" spans="1:7" ht="30" customHeight="1" x14ac:dyDescent="0.2">
      <c r="A65" s="39" t="s">
        <v>662</v>
      </c>
      <c r="B65" s="40" t="s">
        <v>167</v>
      </c>
      <c r="C65" s="41" t="s">
        <v>45</v>
      </c>
      <c r="D65" s="41" t="s">
        <v>45</v>
      </c>
      <c r="E65" s="41" t="s">
        <v>45</v>
      </c>
      <c r="F65" s="41" t="s">
        <v>45</v>
      </c>
      <c r="G65" s="43"/>
    </row>
    <row r="66" spans="1:7" ht="30" customHeight="1" x14ac:dyDescent="0.2">
      <c r="A66" s="44" t="s">
        <v>662</v>
      </c>
      <c r="B66" s="45" t="s">
        <v>169</v>
      </c>
      <c r="C66" s="47" t="s">
        <v>664</v>
      </c>
      <c r="D66" s="46" t="s">
        <v>26</v>
      </c>
      <c r="E66" s="46" t="s">
        <v>26</v>
      </c>
      <c r="F66" s="46" t="s">
        <v>26</v>
      </c>
      <c r="G66" s="43"/>
    </row>
    <row r="67" spans="1:7" ht="30" customHeight="1" x14ac:dyDescent="0.2">
      <c r="A67" s="39" t="s">
        <v>662</v>
      </c>
      <c r="B67" s="40" t="s">
        <v>665</v>
      </c>
      <c r="C67" s="42" t="s">
        <v>25</v>
      </c>
      <c r="D67" s="49" t="s">
        <v>26</v>
      </c>
      <c r="E67" s="49" t="s">
        <v>26</v>
      </c>
      <c r="F67" s="49" t="s">
        <v>26</v>
      </c>
      <c r="G67" s="48" t="s">
        <v>666</v>
      </c>
    </row>
    <row r="68" spans="1:7" ht="30" customHeight="1" x14ac:dyDescent="0.2">
      <c r="A68" s="44" t="s">
        <v>662</v>
      </c>
      <c r="B68" s="45" t="s">
        <v>667</v>
      </c>
      <c r="C68" s="50" t="s">
        <v>25</v>
      </c>
      <c r="D68" s="50" t="s">
        <v>25</v>
      </c>
      <c r="E68" s="46" t="s">
        <v>26</v>
      </c>
      <c r="F68" s="46" t="s">
        <v>26</v>
      </c>
      <c r="G68" s="43"/>
    </row>
    <row r="69" spans="1:7" ht="19.5" customHeight="1" x14ac:dyDescent="0.2">
      <c r="A69" s="151" t="s">
        <v>668</v>
      </c>
      <c r="B69" s="146"/>
      <c r="C69" s="146"/>
      <c r="D69" s="146"/>
      <c r="E69" s="146"/>
      <c r="F69" s="146"/>
      <c r="G69" s="146"/>
    </row>
    <row r="70" spans="1:7" ht="30" customHeight="1" x14ac:dyDescent="0.2">
      <c r="A70" s="39" t="s">
        <v>669</v>
      </c>
      <c r="B70" s="40" t="s">
        <v>670</v>
      </c>
      <c r="C70" s="42" t="s">
        <v>25</v>
      </c>
      <c r="D70" s="42" t="s">
        <v>25</v>
      </c>
      <c r="E70" s="49" t="s">
        <v>26</v>
      </c>
      <c r="F70" s="49" t="s">
        <v>26</v>
      </c>
      <c r="G70" s="48" t="s">
        <v>671</v>
      </c>
    </row>
    <row r="71" spans="1:7" ht="30" customHeight="1" x14ac:dyDescent="0.2">
      <c r="A71" s="44" t="s">
        <v>669</v>
      </c>
      <c r="B71" s="45" t="s">
        <v>187</v>
      </c>
      <c r="C71" s="50" t="s">
        <v>25</v>
      </c>
      <c r="D71" s="50" t="s">
        <v>25</v>
      </c>
      <c r="E71" s="46" t="s">
        <v>26</v>
      </c>
      <c r="F71" s="46" t="s">
        <v>26</v>
      </c>
      <c r="G71" s="43"/>
    </row>
    <row r="72" spans="1:7" ht="30" customHeight="1" x14ac:dyDescent="0.2">
      <c r="A72" s="39" t="s">
        <v>669</v>
      </c>
      <c r="B72" s="40" t="s">
        <v>188</v>
      </c>
      <c r="C72" s="42" t="s">
        <v>25</v>
      </c>
      <c r="D72" s="42" t="s">
        <v>25</v>
      </c>
      <c r="E72" s="51" t="s">
        <v>189</v>
      </c>
      <c r="F72" s="49" t="s">
        <v>26</v>
      </c>
      <c r="G72" s="43"/>
    </row>
    <row r="73" spans="1:7" ht="30" customHeight="1" x14ac:dyDescent="0.2">
      <c r="A73" s="44" t="s">
        <v>669</v>
      </c>
      <c r="B73" s="45" t="s">
        <v>672</v>
      </c>
      <c r="C73" s="50" t="s">
        <v>25</v>
      </c>
      <c r="D73" s="50" t="s">
        <v>25</v>
      </c>
      <c r="E73" s="46" t="s">
        <v>26</v>
      </c>
      <c r="F73" s="46" t="s">
        <v>26</v>
      </c>
      <c r="G73" s="48" t="s">
        <v>673</v>
      </c>
    </row>
    <row r="74" spans="1:7" ht="19.5" customHeight="1" x14ac:dyDescent="0.2">
      <c r="A74" s="151" t="s">
        <v>674</v>
      </c>
      <c r="B74" s="146"/>
      <c r="C74" s="146"/>
      <c r="D74" s="146"/>
      <c r="E74" s="146"/>
      <c r="F74" s="146"/>
      <c r="G74" s="146"/>
    </row>
    <row r="75" spans="1:7" ht="30" customHeight="1" x14ac:dyDescent="0.2">
      <c r="A75" s="39" t="s">
        <v>490</v>
      </c>
      <c r="B75" s="40" t="s">
        <v>675</v>
      </c>
      <c r="C75" s="42" t="s">
        <v>25</v>
      </c>
      <c r="D75" s="42" t="s">
        <v>25</v>
      </c>
      <c r="E75" s="42" t="s">
        <v>25</v>
      </c>
      <c r="F75" s="49" t="s">
        <v>26</v>
      </c>
      <c r="G75" s="48" t="s">
        <v>676</v>
      </c>
    </row>
    <row r="76" spans="1:7" ht="30" customHeight="1" x14ac:dyDescent="0.2">
      <c r="A76" s="44" t="s">
        <v>490</v>
      </c>
      <c r="B76" s="45" t="s">
        <v>677</v>
      </c>
      <c r="C76" s="50" t="s">
        <v>25</v>
      </c>
      <c r="D76" s="50" t="s">
        <v>25</v>
      </c>
      <c r="E76" s="50" t="s">
        <v>25</v>
      </c>
      <c r="F76" s="46" t="s">
        <v>26</v>
      </c>
      <c r="G76" s="43"/>
    </row>
    <row r="77" spans="1:7" ht="30" customHeight="1" x14ac:dyDescent="0.2">
      <c r="A77" s="39" t="s">
        <v>490</v>
      </c>
      <c r="B77" s="40" t="s">
        <v>196</v>
      </c>
      <c r="C77" s="42" t="s">
        <v>25</v>
      </c>
      <c r="D77" s="42" t="s">
        <v>25</v>
      </c>
      <c r="E77" s="42" t="s">
        <v>25</v>
      </c>
      <c r="F77" s="49" t="s">
        <v>26</v>
      </c>
      <c r="G77" s="43"/>
    </row>
    <row r="78" spans="1:7" ht="30" customHeight="1" x14ac:dyDescent="0.2">
      <c r="A78" s="44" t="s">
        <v>490</v>
      </c>
      <c r="B78" s="45" t="s">
        <v>678</v>
      </c>
      <c r="C78" s="50" t="s">
        <v>25</v>
      </c>
      <c r="D78" s="50" t="s">
        <v>25</v>
      </c>
      <c r="E78" s="50" t="s">
        <v>25</v>
      </c>
      <c r="F78" s="46" t="s">
        <v>26</v>
      </c>
      <c r="G78" s="43"/>
    </row>
    <row r="79" spans="1:7" ht="30" customHeight="1" x14ac:dyDescent="0.2">
      <c r="A79" s="39" t="s">
        <v>490</v>
      </c>
      <c r="B79" s="40" t="s">
        <v>679</v>
      </c>
      <c r="C79" s="42" t="s">
        <v>25</v>
      </c>
      <c r="D79" s="42" t="s">
        <v>25</v>
      </c>
      <c r="E79" s="42" t="s">
        <v>25</v>
      </c>
      <c r="F79" s="49" t="s">
        <v>26</v>
      </c>
      <c r="G79" s="43"/>
    </row>
    <row r="80" spans="1:7" ht="30" customHeight="1" x14ac:dyDescent="0.2">
      <c r="A80" s="44" t="s">
        <v>490</v>
      </c>
      <c r="B80" s="45" t="s">
        <v>680</v>
      </c>
      <c r="C80" s="50" t="s">
        <v>25</v>
      </c>
      <c r="D80" s="50" t="s">
        <v>25</v>
      </c>
      <c r="E80" s="50" t="s">
        <v>25</v>
      </c>
      <c r="F80" s="46" t="s">
        <v>26</v>
      </c>
      <c r="G80" s="43"/>
    </row>
    <row r="81" spans="1:7" ht="30" customHeight="1" x14ac:dyDescent="0.2">
      <c r="A81" s="39" t="s">
        <v>490</v>
      </c>
      <c r="B81" s="40" t="s">
        <v>200</v>
      </c>
      <c r="C81" s="42" t="s">
        <v>25</v>
      </c>
      <c r="D81" s="42" t="s">
        <v>25</v>
      </c>
      <c r="E81" s="42" t="s">
        <v>25</v>
      </c>
      <c r="F81" s="49" t="s">
        <v>26</v>
      </c>
      <c r="G81" s="43"/>
    </row>
    <row r="82" spans="1:7" ht="30" customHeight="1" x14ac:dyDescent="0.2">
      <c r="A82" s="44" t="s">
        <v>490</v>
      </c>
      <c r="B82" s="45" t="s">
        <v>681</v>
      </c>
      <c r="C82" s="52" t="s">
        <v>618</v>
      </c>
      <c r="D82" s="52" t="s">
        <v>618</v>
      </c>
      <c r="E82" s="52" t="s">
        <v>618</v>
      </c>
      <c r="F82" s="47" t="s">
        <v>618</v>
      </c>
      <c r="G82" s="48" t="s">
        <v>682</v>
      </c>
    </row>
    <row r="83" spans="1:7" ht="30" customHeight="1" x14ac:dyDescent="0.2">
      <c r="A83" s="39" t="s">
        <v>490</v>
      </c>
      <c r="B83" s="40" t="s">
        <v>201</v>
      </c>
      <c r="C83" s="42" t="s">
        <v>25</v>
      </c>
      <c r="D83" s="42" t="s">
        <v>25</v>
      </c>
      <c r="E83" s="42" t="s">
        <v>25</v>
      </c>
      <c r="F83" s="49" t="s">
        <v>26</v>
      </c>
      <c r="G83" s="43"/>
    </row>
    <row r="84" spans="1:7" ht="19.5" customHeight="1" x14ac:dyDescent="0.2">
      <c r="A84" s="151" t="s">
        <v>683</v>
      </c>
      <c r="B84" s="146"/>
      <c r="C84" s="146"/>
      <c r="D84" s="146"/>
      <c r="E84" s="146"/>
      <c r="F84" s="146"/>
      <c r="G84" s="146"/>
    </row>
    <row r="85" spans="1:7" ht="30" customHeight="1" x14ac:dyDescent="0.2">
      <c r="A85" s="44" t="s">
        <v>467</v>
      </c>
      <c r="B85" s="45" t="s">
        <v>684</v>
      </c>
      <c r="C85" s="47" t="s">
        <v>629</v>
      </c>
      <c r="D85" s="47" t="s">
        <v>630</v>
      </c>
      <c r="E85" s="47" t="s">
        <v>630</v>
      </c>
      <c r="F85" s="47" t="s">
        <v>685</v>
      </c>
      <c r="G85" s="43"/>
    </row>
    <row r="86" spans="1:7" ht="30" customHeight="1" x14ac:dyDescent="0.2">
      <c r="A86" s="39" t="s">
        <v>467</v>
      </c>
      <c r="B86" s="40" t="s">
        <v>202</v>
      </c>
      <c r="C86" s="42" t="s">
        <v>25</v>
      </c>
      <c r="D86" s="42" t="s">
        <v>25</v>
      </c>
      <c r="E86" s="42" t="s">
        <v>25</v>
      </c>
      <c r="F86" s="49" t="s">
        <v>26</v>
      </c>
      <c r="G86" s="43"/>
    </row>
    <row r="87" spans="1:7" ht="30" customHeight="1" x14ac:dyDescent="0.2">
      <c r="A87" s="44" t="s">
        <v>467</v>
      </c>
      <c r="B87" s="45" t="s">
        <v>686</v>
      </c>
      <c r="C87" s="50" t="s">
        <v>25</v>
      </c>
      <c r="D87" s="50" t="s">
        <v>25</v>
      </c>
      <c r="E87" s="50" t="s">
        <v>25</v>
      </c>
      <c r="F87" s="46" t="s">
        <v>26</v>
      </c>
      <c r="G87" s="43"/>
    </row>
    <row r="88" spans="1:7" ht="19.5" customHeight="1" x14ac:dyDescent="0.2">
      <c r="A88" s="159" t="s">
        <v>687</v>
      </c>
      <c r="B88" s="146"/>
      <c r="C88" s="146"/>
      <c r="D88" s="146"/>
      <c r="E88" s="146"/>
      <c r="F88" s="146"/>
      <c r="G88" s="146"/>
    </row>
    <row r="89" spans="1:7" ht="30" customHeight="1" x14ac:dyDescent="0.2">
      <c r="A89" s="53"/>
      <c r="B89" s="54" t="s">
        <v>688</v>
      </c>
      <c r="C89" s="52" t="s">
        <v>618</v>
      </c>
      <c r="D89" s="52" t="s">
        <v>618</v>
      </c>
      <c r="E89" s="52" t="s">
        <v>618</v>
      </c>
      <c r="F89" s="52" t="s">
        <v>618</v>
      </c>
      <c r="G89" s="55" t="s">
        <v>689</v>
      </c>
    </row>
    <row r="90" spans="1:7" ht="30" customHeight="1" x14ac:dyDescent="0.2">
      <c r="A90" s="53"/>
      <c r="B90" s="54" t="s">
        <v>690</v>
      </c>
      <c r="C90" s="52" t="s">
        <v>618</v>
      </c>
      <c r="D90" s="52" t="s">
        <v>618</v>
      </c>
      <c r="E90" s="52" t="s">
        <v>618</v>
      </c>
      <c r="F90" s="52" t="s">
        <v>618</v>
      </c>
      <c r="G90" s="55" t="s">
        <v>689</v>
      </c>
    </row>
    <row r="91" spans="1:7" ht="30" customHeight="1" x14ac:dyDescent="0.2">
      <c r="A91" s="53"/>
      <c r="B91" s="54" t="s">
        <v>691</v>
      </c>
      <c r="C91" s="52" t="s">
        <v>618</v>
      </c>
      <c r="D91" s="52" t="s">
        <v>618</v>
      </c>
      <c r="E91" s="52" t="s">
        <v>618</v>
      </c>
      <c r="F91" s="52" t="s">
        <v>618</v>
      </c>
      <c r="G91" s="55"/>
    </row>
    <row r="92" spans="1:7" ht="30" customHeight="1" x14ac:dyDescent="0.2">
      <c r="A92" s="53"/>
      <c r="B92" s="54" t="s">
        <v>692</v>
      </c>
      <c r="C92" s="52" t="s">
        <v>618</v>
      </c>
      <c r="D92" s="52" t="s">
        <v>618</v>
      </c>
      <c r="E92" s="52" t="s">
        <v>618</v>
      </c>
      <c r="F92" s="52" t="s">
        <v>618</v>
      </c>
      <c r="G92" s="55"/>
    </row>
    <row r="93" spans="1:7" ht="30" customHeight="1" x14ac:dyDescent="0.2">
      <c r="A93" s="53"/>
      <c r="B93" s="54" t="s">
        <v>693</v>
      </c>
      <c r="C93" s="52" t="s">
        <v>618</v>
      </c>
      <c r="D93" s="52" t="s">
        <v>618</v>
      </c>
      <c r="E93" s="52" t="s">
        <v>618</v>
      </c>
      <c r="F93" s="52" t="s">
        <v>618</v>
      </c>
      <c r="G93" s="55"/>
    </row>
    <row r="94" spans="1:7" ht="30" customHeight="1" x14ac:dyDescent="0.2">
      <c r="A94" s="53"/>
      <c r="B94" s="54" t="s">
        <v>694</v>
      </c>
      <c r="C94" s="52" t="s">
        <v>618</v>
      </c>
      <c r="D94" s="52" t="s">
        <v>618</v>
      </c>
      <c r="E94" s="52" t="s">
        <v>618</v>
      </c>
      <c r="F94" s="52" t="s">
        <v>618</v>
      </c>
      <c r="G94" s="55"/>
    </row>
    <row r="95" spans="1:7" ht="30" customHeight="1" x14ac:dyDescent="0.2">
      <c r="A95" s="53"/>
      <c r="B95" s="54" t="s">
        <v>695</v>
      </c>
      <c r="C95" s="52" t="s">
        <v>618</v>
      </c>
      <c r="D95" s="52" t="s">
        <v>618</v>
      </c>
      <c r="E95" s="52" t="s">
        <v>618</v>
      </c>
      <c r="F95" s="52" t="s">
        <v>618</v>
      </c>
      <c r="G95" s="55"/>
    </row>
    <row r="96" spans="1:7" ht="30" customHeight="1" x14ac:dyDescent="0.2">
      <c r="A96" s="53"/>
      <c r="B96" s="54" t="s">
        <v>696</v>
      </c>
      <c r="C96" s="52" t="s">
        <v>618</v>
      </c>
      <c r="D96" s="52" t="s">
        <v>618</v>
      </c>
      <c r="E96" s="52" t="s">
        <v>618</v>
      </c>
      <c r="F96" s="52" t="s">
        <v>618</v>
      </c>
      <c r="G96" s="55"/>
    </row>
    <row r="97" spans="1:7" ht="30" customHeight="1" x14ac:dyDescent="0.2">
      <c r="A97" s="53"/>
      <c r="B97" s="54" t="s">
        <v>697</v>
      </c>
      <c r="C97" s="52" t="s">
        <v>618</v>
      </c>
      <c r="D97" s="52" t="s">
        <v>618</v>
      </c>
      <c r="E97" s="52" t="s">
        <v>618</v>
      </c>
      <c r="F97" s="52" t="s">
        <v>618</v>
      </c>
      <c r="G97" s="55"/>
    </row>
    <row r="99" spans="1:7" ht="19.5" customHeight="1" x14ac:dyDescent="0.2">
      <c r="A99" s="155" t="s">
        <v>698</v>
      </c>
      <c r="B99" s="146"/>
      <c r="C99" s="146"/>
      <c r="D99" s="146"/>
      <c r="E99" s="146"/>
      <c r="F99" s="146"/>
      <c r="G99" s="146"/>
    </row>
    <row r="100" spans="1:7" ht="15" customHeight="1" x14ac:dyDescent="0.2">
      <c r="A100" s="156" t="s">
        <v>699</v>
      </c>
      <c r="B100" s="157"/>
      <c r="C100" s="56" t="s">
        <v>700</v>
      </c>
      <c r="D100" s="56" t="s">
        <v>701</v>
      </c>
    </row>
    <row r="101" spans="1:7" ht="39.75" customHeight="1" x14ac:dyDescent="0.2">
      <c r="A101" s="158" t="s">
        <v>702</v>
      </c>
      <c r="B101" s="153"/>
      <c r="C101" s="57" t="s">
        <v>703</v>
      </c>
      <c r="D101" s="57" t="s">
        <v>704</v>
      </c>
    </row>
    <row r="102" spans="1:7" ht="39.75" customHeight="1" x14ac:dyDescent="0.2">
      <c r="A102" s="152" t="s">
        <v>702</v>
      </c>
      <c r="B102" s="153"/>
      <c r="C102" s="58" t="s">
        <v>705</v>
      </c>
      <c r="D102" s="58" t="s">
        <v>706</v>
      </c>
    </row>
    <row r="103" spans="1:7" ht="39.75" customHeight="1" x14ac:dyDescent="0.2">
      <c r="A103" s="158" t="s">
        <v>707</v>
      </c>
      <c r="B103" s="153"/>
      <c r="C103" s="57" t="s">
        <v>708</v>
      </c>
      <c r="D103" s="57" t="s">
        <v>709</v>
      </c>
    </row>
    <row r="104" spans="1:7" ht="39.75" customHeight="1" x14ac:dyDescent="0.2">
      <c r="A104" s="152" t="s">
        <v>707</v>
      </c>
      <c r="B104" s="153"/>
      <c r="C104" s="58" t="s">
        <v>710</v>
      </c>
      <c r="D104" s="58" t="s">
        <v>711</v>
      </c>
    </row>
    <row r="105" spans="1:7" ht="39.75" customHeight="1" x14ac:dyDescent="0.2">
      <c r="A105" s="158" t="s">
        <v>712</v>
      </c>
      <c r="B105" s="153"/>
      <c r="C105" s="57" t="s">
        <v>713</v>
      </c>
      <c r="D105" s="57" t="s">
        <v>714</v>
      </c>
    </row>
    <row r="106" spans="1:7" ht="39.75" customHeight="1" x14ac:dyDescent="0.2">
      <c r="A106" s="152" t="s">
        <v>712</v>
      </c>
      <c r="B106" s="153"/>
      <c r="C106" s="58" t="s">
        <v>715</v>
      </c>
      <c r="D106" s="58" t="s">
        <v>716</v>
      </c>
    </row>
    <row r="108" spans="1:7" ht="15.75" customHeight="1" x14ac:dyDescent="0.2">
      <c r="A108" s="154" t="s">
        <v>717</v>
      </c>
      <c r="B108" s="146"/>
      <c r="C108" s="146"/>
      <c r="D108" s="146"/>
      <c r="E108" s="146"/>
      <c r="F108" s="146"/>
      <c r="G108" s="146"/>
    </row>
  </sheetData>
  <mergeCells count="24">
    <mergeCell ref="A104:B104"/>
    <mergeCell ref="A14:G14"/>
    <mergeCell ref="A22:G22"/>
    <mergeCell ref="A103:B103"/>
    <mergeCell ref="A38:G38"/>
    <mergeCell ref="A29:G29"/>
    <mergeCell ref="A52:G52"/>
    <mergeCell ref="A63:G63"/>
    <mergeCell ref="A1:G1"/>
    <mergeCell ref="A69:G69"/>
    <mergeCell ref="A106:B106"/>
    <mergeCell ref="A108:G108"/>
    <mergeCell ref="A99:G99"/>
    <mergeCell ref="A84:G84"/>
    <mergeCell ref="A100:B100"/>
    <mergeCell ref="A74:G74"/>
    <mergeCell ref="A2:G2"/>
    <mergeCell ref="A102:B102"/>
    <mergeCell ref="A10:G10"/>
    <mergeCell ref="A58:G58"/>
    <mergeCell ref="A48:G48"/>
    <mergeCell ref="A105:B105"/>
    <mergeCell ref="A101:B101"/>
    <mergeCell ref="A88:G8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4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G1"/>
    </sheetView>
  </sheetViews>
  <sheetFormatPr baseColWidth="10" defaultColWidth="8.83203125" defaultRowHeight="15" x14ac:dyDescent="0.2"/>
  <cols>
    <col min="1" max="1" width="34" customWidth="1"/>
    <col min="2" max="2" width="5" customWidth="1"/>
    <col min="3" max="7" width="18" customWidth="1"/>
  </cols>
  <sheetData>
    <row r="1" spans="1:7" ht="39.75" customHeight="1" x14ac:dyDescent="0.2">
      <c r="A1" s="161" t="s">
        <v>823</v>
      </c>
      <c r="B1" s="146"/>
      <c r="C1" s="146"/>
      <c r="D1" s="146"/>
      <c r="E1" s="146"/>
      <c r="F1" s="146"/>
      <c r="G1" s="146"/>
    </row>
    <row r="2" spans="1:7" ht="21.75" customHeight="1" x14ac:dyDescent="0.2">
      <c r="A2" s="160" t="s">
        <v>824</v>
      </c>
      <c r="B2" s="146"/>
      <c r="C2" s="146"/>
      <c r="D2" s="146"/>
      <c r="E2" s="146"/>
      <c r="F2" s="146"/>
      <c r="G2" s="146"/>
    </row>
    <row r="3" spans="1:7" ht="7.5" customHeight="1" x14ac:dyDescent="0.2">
      <c r="A3" s="73"/>
      <c r="B3" s="73"/>
      <c r="C3" s="73"/>
      <c r="D3" s="73"/>
      <c r="E3" s="73"/>
      <c r="F3" s="73"/>
      <c r="G3" s="73"/>
    </row>
    <row r="4" spans="1:7" ht="49.5" customHeight="1" x14ac:dyDescent="0.2">
      <c r="A4" s="74" t="s">
        <v>3</v>
      </c>
      <c r="B4" s="75"/>
      <c r="C4" s="76" t="s">
        <v>825</v>
      </c>
      <c r="D4" s="77" t="s">
        <v>826</v>
      </c>
      <c r="E4" s="78" t="s">
        <v>827</v>
      </c>
      <c r="F4" s="79" t="s">
        <v>828</v>
      </c>
      <c r="G4" s="80" t="s">
        <v>6</v>
      </c>
    </row>
    <row r="5" spans="1:7" ht="18" customHeight="1" x14ac:dyDescent="0.2">
      <c r="A5" s="81"/>
      <c r="B5" s="82"/>
      <c r="C5" s="83" t="s">
        <v>829</v>
      </c>
      <c r="D5" s="83" t="s">
        <v>830</v>
      </c>
      <c r="E5" s="84" t="s">
        <v>831</v>
      </c>
      <c r="F5" s="84"/>
      <c r="G5" s="83" t="s">
        <v>832</v>
      </c>
    </row>
    <row r="6" spans="1:7" ht="19.5" customHeight="1" x14ac:dyDescent="0.2">
      <c r="A6" s="85" t="s">
        <v>833</v>
      </c>
      <c r="B6" s="86"/>
      <c r="C6" s="86"/>
      <c r="D6" s="86"/>
      <c r="E6" s="86"/>
      <c r="F6" s="86"/>
      <c r="G6" s="86"/>
    </row>
    <row r="7" spans="1:7" ht="19.5" customHeight="1" x14ac:dyDescent="0.2">
      <c r="A7" s="87" t="s">
        <v>585</v>
      </c>
      <c r="B7" s="73"/>
      <c r="C7" s="88" t="s">
        <v>834</v>
      </c>
      <c r="D7" s="88" t="s">
        <v>834</v>
      </c>
      <c r="E7" s="89" t="s">
        <v>835</v>
      </c>
      <c r="F7" s="89" t="s">
        <v>836</v>
      </c>
      <c r="G7" s="88" t="s">
        <v>13</v>
      </c>
    </row>
    <row r="8" spans="1:7" ht="19.5" customHeight="1" x14ac:dyDescent="0.2">
      <c r="A8" s="90" t="s">
        <v>837</v>
      </c>
      <c r="B8" s="73"/>
      <c r="C8" s="88" t="s">
        <v>838</v>
      </c>
      <c r="D8" s="88" t="s">
        <v>838</v>
      </c>
      <c r="E8" s="89" t="s">
        <v>838</v>
      </c>
      <c r="F8" s="89" t="s">
        <v>839</v>
      </c>
      <c r="G8" s="88" t="s">
        <v>13</v>
      </c>
    </row>
    <row r="9" spans="1:7" ht="19.5" customHeight="1" x14ac:dyDescent="0.2">
      <c r="A9" s="87" t="s">
        <v>592</v>
      </c>
      <c r="B9" s="73"/>
      <c r="C9" s="88" t="s">
        <v>840</v>
      </c>
      <c r="D9" s="88" t="s">
        <v>840</v>
      </c>
      <c r="E9" s="89" t="s">
        <v>841</v>
      </c>
      <c r="F9" s="89" t="s">
        <v>841</v>
      </c>
      <c r="G9" s="88" t="s">
        <v>13</v>
      </c>
    </row>
    <row r="10" spans="1:7" ht="19.5" customHeight="1" x14ac:dyDescent="0.2">
      <c r="A10" s="90" t="s">
        <v>842</v>
      </c>
      <c r="B10" s="73"/>
      <c r="C10" s="91" t="s">
        <v>25</v>
      </c>
      <c r="D10" s="91" t="s">
        <v>25</v>
      </c>
      <c r="E10" s="92" t="s">
        <v>26</v>
      </c>
      <c r="F10" s="92" t="s">
        <v>26</v>
      </c>
      <c r="G10" s="93" t="s">
        <v>26</v>
      </c>
    </row>
    <row r="11" spans="1:7" ht="19.5" customHeight="1" x14ac:dyDescent="0.2">
      <c r="A11" s="85" t="s">
        <v>843</v>
      </c>
      <c r="B11" s="86"/>
      <c r="C11" s="86"/>
      <c r="D11" s="86"/>
      <c r="E11" s="86"/>
      <c r="F11" s="86"/>
      <c r="G11" s="86"/>
    </row>
    <row r="12" spans="1:7" ht="19.5" customHeight="1" x14ac:dyDescent="0.2">
      <c r="A12" s="87" t="s">
        <v>844</v>
      </c>
      <c r="B12" s="73"/>
      <c r="C12" s="93" t="s">
        <v>26</v>
      </c>
      <c r="D12" s="93" t="s">
        <v>26</v>
      </c>
      <c r="E12" s="92" t="s">
        <v>26</v>
      </c>
      <c r="F12" s="92" t="s">
        <v>26</v>
      </c>
      <c r="G12" s="93" t="s">
        <v>26</v>
      </c>
    </row>
    <row r="13" spans="1:7" ht="19.5" customHeight="1" x14ac:dyDescent="0.2">
      <c r="A13" s="90" t="s">
        <v>71</v>
      </c>
      <c r="B13" s="73"/>
      <c r="C13" s="93" t="s">
        <v>26</v>
      </c>
      <c r="D13" s="93" t="s">
        <v>26</v>
      </c>
      <c r="E13" s="92" t="s">
        <v>26</v>
      </c>
      <c r="F13" s="92" t="s">
        <v>26</v>
      </c>
      <c r="G13" s="93" t="s">
        <v>26</v>
      </c>
    </row>
    <row r="14" spans="1:7" ht="19.5" customHeight="1" x14ac:dyDescent="0.2">
      <c r="A14" s="87" t="s">
        <v>845</v>
      </c>
      <c r="B14" s="73"/>
      <c r="C14" s="91" t="s">
        <v>25</v>
      </c>
      <c r="D14" s="91" t="s">
        <v>25</v>
      </c>
      <c r="E14" s="89" t="s">
        <v>846</v>
      </c>
      <c r="F14" s="89" t="s">
        <v>847</v>
      </c>
      <c r="G14" s="88" t="s">
        <v>848</v>
      </c>
    </row>
    <row r="15" spans="1:7" ht="19.5" customHeight="1" x14ac:dyDescent="0.2">
      <c r="A15" s="90" t="s">
        <v>849</v>
      </c>
      <c r="B15" s="73"/>
      <c r="C15" s="91" t="s">
        <v>25</v>
      </c>
      <c r="D15" s="91" t="s">
        <v>25</v>
      </c>
      <c r="E15" s="89" t="s">
        <v>129</v>
      </c>
      <c r="F15" s="89" t="s">
        <v>129</v>
      </c>
      <c r="G15" s="88" t="s">
        <v>19</v>
      </c>
    </row>
    <row r="16" spans="1:7" ht="19.5" customHeight="1" x14ac:dyDescent="0.2">
      <c r="A16" s="87" t="s">
        <v>850</v>
      </c>
      <c r="B16" s="73"/>
      <c r="C16" s="91" t="s">
        <v>25</v>
      </c>
      <c r="D16" s="91" t="s">
        <v>25</v>
      </c>
      <c r="E16" s="92" t="s">
        <v>26</v>
      </c>
      <c r="F16" s="92" t="s">
        <v>26</v>
      </c>
      <c r="G16" s="93" t="s">
        <v>26</v>
      </c>
    </row>
    <row r="17" spans="1:7" ht="19.5" customHeight="1" x14ac:dyDescent="0.2">
      <c r="A17" s="90" t="s">
        <v>851</v>
      </c>
      <c r="B17" s="73"/>
      <c r="C17" s="91" t="s">
        <v>25</v>
      </c>
      <c r="D17" s="91" t="s">
        <v>25</v>
      </c>
      <c r="E17" s="92" t="s">
        <v>26</v>
      </c>
      <c r="F17" s="92" t="s">
        <v>26</v>
      </c>
      <c r="G17" s="93" t="s">
        <v>26</v>
      </c>
    </row>
    <row r="18" spans="1:7" ht="19.5" customHeight="1" x14ac:dyDescent="0.2">
      <c r="A18" s="87" t="s">
        <v>73</v>
      </c>
      <c r="B18" s="73"/>
      <c r="C18" s="91" t="s">
        <v>25</v>
      </c>
      <c r="D18" s="91" t="s">
        <v>25</v>
      </c>
      <c r="E18" s="94" t="s">
        <v>25</v>
      </c>
      <c r="F18" s="92" t="s">
        <v>26</v>
      </c>
      <c r="G18" s="93" t="s">
        <v>26</v>
      </c>
    </row>
    <row r="19" spans="1:7" ht="19.5" customHeight="1" x14ac:dyDescent="0.2">
      <c r="A19" s="85" t="s">
        <v>852</v>
      </c>
      <c r="B19" s="86"/>
      <c r="C19" s="86"/>
      <c r="D19" s="86"/>
      <c r="E19" s="86"/>
      <c r="F19" s="86"/>
      <c r="G19" s="86"/>
    </row>
    <row r="20" spans="1:7" ht="19.5" customHeight="1" x14ac:dyDescent="0.2">
      <c r="A20" s="87" t="s">
        <v>853</v>
      </c>
      <c r="B20" s="73"/>
      <c r="C20" s="88" t="s">
        <v>664</v>
      </c>
      <c r="D20" s="88" t="s">
        <v>664</v>
      </c>
      <c r="E20" s="89" t="s">
        <v>854</v>
      </c>
      <c r="F20" s="89" t="s">
        <v>855</v>
      </c>
      <c r="G20" s="88" t="s">
        <v>855</v>
      </c>
    </row>
    <row r="21" spans="1:7" ht="19.5" customHeight="1" x14ac:dyDescent="0.2">
      <c r="A21" s="90" t="s">
        <v>856</v>
      </c>
      <c r="B21" s="73"/>
      <c r="C21" s="91" t="s">
        <v>25</v>
      </c>
      <c r="D21" s="91" t="s">
        <v>25</v>
      </c>
      <c r="E21" s="94" t="s">
        <v>25</v>
      </c>
      <c r="F21" s="92" t="s">
        <v>26</v>
      </c>
      <c r="G21" s="93" t="s">
        <v>26</v>
      </c>
    </row>
    <row r="22" spans="1:7" ht="19.5" customHeight="1" x14ac:dyDescent="0.2">
      <c r="A22" s="87" t="s">
        <v>857</v>
      </c>
      <c r="B22" s="73"/>
      <c r="C22" s="93" t="s">
        <v>26</v>
      </c>
      <c r="D22" s="93" t="s">
        <v>26</v>
      </c>
      <c r="E22" s="92" t="s">
        <v>26</v>
      </c>
      <c r="F22" s="92" t="s">
        <v>26</v>
      </c>
      <c r="G22" s="93" t="s">
        <v>26</v>
      </c>
    </row>
    <row r="23" spans="1:7" ht="19.5" customHeight="1" x14ac:dyDescent="0.2">
      <c r="A23" s="90" t="s">
        <v>397</v>
      </c>
      <c r="B23" s="73"/>
      <c r="C23" s="88" t="s">
        <v>664</v>
      </c>
      <c r="D23" s="88" t="s">
        <v>664</v>
      </c>
      <c r="E23" s="89" t="s">
        <v>629</v>
      </c>
      <c r="F23" s="89" t="s">
        <v>858</v>
      </c>
      <c r="G23" s="88" t="s">
        <v>13</v>
      </c>
    </row>
    <row r="24" spans="1:7" ht="19.5" customHeight="1" x14ac:dyDescent="0.2">
      <c r="A24" s="87" t="s">
        <v>859</v>
      </c>
      <c r="B24" s="73"/>
      <c r="C24" s="91" t="s">
        <v>25</v>
      </c>
      <c r="D24" s="91" t="s">
        <v>25</v>
      </c>
      <c r="E24" s="94" t="s">
        <v>25</v>
      </c>
      <c r="F24" s="92" t="s">
        <v>26</v>
      </c>
      <c r="G24" s="93" t="s">
        <v>26</v>
      </c>
    </row>
    <row r="25" spans="1:7" ht="19.5" customHeight="1" x14ac:dyDescent="0.2">
      <c r="A25" s="90" t="s">
        <v>192</v>
      </c>
      <c r="B25" s="73"/>
      <c r="C25" s="91" t="s">
        <v>25</v>
      </c>
      <c r="D25" s="91" t="s">
        <v>25</v>
      </c>
      <c r="E25" s="94" t="s">
        <v>25</v>
      </c>
      <c r="F25" s="94" t="s">
        <v>25</v>
      </c>
      <c r="G25" s="93" t="s">
        <v>26</v>
      </c>
    </row>
    <row r="26" spans="1:7" ht="19.5" customHeight="1" x14ac:dyDescent="0.2">
      <c r="A26" s="87" t="s">
        <v>860</v>
      </c>
      <c r="B26" s="73"/>
      <c r="C26" s="91" t="s">
        <v>25</v>
      </c>
      <c r="D26" s="91" t="s">
        <v>25</v>
      </c>
      <c r="E26" s="94" t="s">
        <v>25</v>
      </c>
      <c r="F26" s="94" t="s">
        <v>25</v>
      </c>
      <c r="G26" s="93" t="s">
        <v>26</v>
      </c>
    </row>
    <row r="27" spans="1:7" ht="19.5" customHeight="1" x14ac:dyDescent="0.2">
      <c r="A27" s="90" t="s">
        <v>191</v>
      </c>
      <c r="B27" s="73"/>
      <c r="C27" s="91" t="s">
        <v>25</v>
      </c>
      <c r="D27" s="91" t="s">
        <v>25</v>
      </c>
      <c r="E27" s="94" t="s">
        <v>25</v>
      </c>
      <c r="F27" s="94" t="s">
        <v>25</v>
      </c>
      <c r="G27" s="93" t="s">
        <v>26</v>
      </c>
    </row>
    <row r="28" spans="1:7" ht="19.5" customHeight="1" x14ac:dyDescent="0.2">
      <c r="A28" s="85" t="s">
        <v>861</v>
      </c>
      <c r="B28" s="86"/>
      <c r="C28" s="86"/>
      <c r="D28" s="86"/>
      <c r="E28" s="86"/>
      <c r="F28" s="86"/>
      <c r="G28" s="86"/>
    </row>
    <row r="29" spans="1:7" ht="19.5" customHeight="1" x14ac:dyDescent="0.2">
      <c r="A29" s="87" t="s">
        <v>663</v>
      </c>
      <c r="B29" s="73"/>
      <c r="C29" s="88" t="s">
        <v>45</v>
      </c>
      <c r="D29" s="88" t="s">
        <v>45</v>
      </c>
      <c r="E29" s="89" t="s">
        <v>45</v>
      </c>
      <c r="F29" s="89" t="s">
        <v>45</v>
      </c>
      <c r="G29" s="88" t="s">
        <v>45</v>
      </c>
    </row>
    <row r="30" spans="1:7" ht="19.5" customHeight="1" x14ac:dyDescent="0.2">
      <c r="A30" s="90" t="s">
        <v>167</v>
      </c>
      <c r="B30" s="73"/>
      <c r="C30" s="88" t="s">
        <v>45</v>
      </c>
      <c r="D30" s="88" t="s">
        <v>45</v>
      </c>
      <c r="E30" s="89" t="s">
        <v>45</v>
      </c>
      <c r="F30" s="89" t="s">
        <v>45</v>
      </c>
      <c r="G30" s="88" t="s">
        <v>45</v>
      </c>
    </row>
    <row r="31" spans="1:7" ht="19.5" customHeight="1" x14ac:dyDescent="0.2">
      <c r="A31" s="85" t="s">
        <v>203</v>
      </c>
      <c r="B31" s="86"/>
      <c r="C31" s="86"/>
      <c r="D31" s="86"/>
      <c r="E31" s="86"/>
      <c r="F31" s="86"/>
      <c r="G31" s="86"/>
    </row>
    <row r="32" spans="1:7" ht="19.5" customHeight="1" x14ac:dyDescent="0.2">
      <c r="A32" s="87" t="s">
        <v>862</v>
      </c>
      <c r="B32" s="73"/>
      <c r="C32" s="93" t="s">
        <v>26</v>
      </c>
      <c r="D32" s="93" t="s">
        <v>26</v>
      </c>
      <c r="E32" s="92" t="s">
        <v>26</v>
      </c>
      <c r="F32" s="92" t="s">
        <v>26</v>
      </c>
      <c r="G32" s="93" t="s">
        <v>26</v>
      </c>
    </row>
    <row r="33" spans="1:7" ht="19.5" customHeight="1" x14ac:dyDescent="0.2">
      <c r="A33" s="90" t="s">
        <v>863</v>
      </c>
      <c r="B33" s="73"/>
      <c r="C33" s="91" t="s">
        <v>25</v>
      </c>
      <c r="D33" s="91" t="s">
        <v>25</v>
      </c>
      <c r="E33" s="94" t="s">
        <v>25</v>
      </c>
      <c r="F33" s="92" t="s">
        <v>26</v>
      </c>
      <c r="G33" s="93" t="s">
        <v>26</v>
      </c>
    </row>
    <row r="34" spans="1:7" ht="19.5" customHeight="1" x14ac:dyDescent="0.2">
      <c r="A34" s="87" t="s">
        <v>202</v>
      </c>
      <c r="B34" s="73"/>
      <c r="C34" s="91" t="s">
        <v>25</v>
      </c>
      <c r="D34" s="91" t="s">
        <v>25</v>
      </c>
      <c r="E34" s="94" t="s">
        <v>25</v>
      </c>
      <c r="F34" s="94" t="s">
        <v>25</v>
      </c>
      <c r="G34" s="93" t="s">
        <v>26</v>
      </c>
    </row>
    <row r="35" spans="1:7" ht="19.5" customHeight="1" x14ac:dyDescent="0.2">
      <c r="A35" s="90" t="s">
        <v>864</v>
      </c>
      <c r="B35" s="73"/>
      <c r="C35" s="91" t="s">
        <v>25</v>
      </c>
      <c r="D35" s="91" t="s">
        <v>25</v>
      </c>
      <c r="E35" s="94" t="s">
        <v>25</v>
      </c>
      <c r="F35" s="94" t="s">
        <v>25</v>
      </c>
      <c r="G35" s="93" t="s">
        <v>26</v>
      </c>
    </row>
    <row r="36" spans="1:7" ht="19.5" customHeight="1" x14ac:dyDescent="0.2">
      <c r="A36" s="87" t="s">
        <v>865</v>
      </c>
      <c r="B36" s="73"/>
      <c r="C36" s="91" t="s">
        <v>25</v>
      </c>
      <c r="D36" s="91" t="s">
        <v>25</v>
      </c>
      <c r="E36" s="94" t="s">
        <v>25</v>
      </c>
      <c r="F36" s="94" t="s">
        <v>25</v>
      </c>
      <c r="G36" s="93" t="s">
        <v>26</v>
      </c>
    </row>
    <row r="37" spans="1:7" ht="19.5" customHeight="1" x14ac:dyDescent="0.2">
      <c r="A37" s="85" t="s">
        <v>866</v>
      </c>
      <c r="B37" s="86"/>
      <c r="C37" s="86"/>
      <c r="D37" s="86"/>
      <c r="E37" s="86"/>
      <c r="F37" s="86"/>
      <c r="G37" s="86"/>
    </row>
    <row r="38" spans="1:7" ht="19.5" customHeight="1" x14ac:dyDescent="0.2">
      <c r="A38" s="87" t="s">
        <v>867</v>
      </c>
      <c r="B38" s="73"/>
      <c r="C38" s="88" t="s">
        <v>868</v>
      </c>
      <c r="D38" s="88" t="s">
        <v>868</v>
      </c>
      <c r="E38" s="89" t="s">
        <v>868</v>
      </c>
      <c r="F38" s="89" t="s">
        <v>868</v>
      </c>
      <c r="G38" s="88" t="s">
        <v>19</v>
      </c>
    </row>
    <row r="39" spans="1:7" ht="19.5" customHeight="1" x14ac:dyDescent="0.2">
      <c r="A39" s="90" t="s">
        <v>869</v>
      </c>
      <c r="B39" s="73"/>
      <c r="C39" s="88" t="s">
        <v>22</v>
      </c>
      <c r="D39" s="88" t="s">
        <v>22</v>
      </c>
      <c r="E39" s="89" t="s">
        <v>22</v>
      </c>
      <c r="F39" s="89" t="s">
        <v>22</v>
      </c>
      <c r="G39" s="88" t="s">
        <v>22</v>
      </c>
    </row>
    <row r="40" spans="1:7" ht="19.5" customHeight="1" x14ac:dyDescent="0.2">
      <c r="A40" s="87" t="s">
        <v>9</v>
      </c>
      <c r="B40" s="73"/>
      <c r="C40" s="88" t="s">
        <v>870</v>
      </c>
      <c r="D40" s="88" t="s">
        <v>871</v>
      </c>
      <c r="E40" s="89" t="s">
        <v>872</v>
      </c>
      <c r="F40" s="89" t="s">
        <v>873</v>
      </c>
      <c r="G40" s="88" t="s">
        <v>13</v>
      </c>
    </row>
    <row r="41" spans="1:7" ht="19.5" customHeight="1" x14ac:dyDescent="0.2">
      <c r="A41" s="85" t="s">
        <v>874</v>
      </c>
      <c r="B41" s="86"/>
      <c r="C41" s="86"/>
      <c r="D41" s="86"/>
      <c r="E41" s="86"/>
      <c r="F41" s="86"/>
      <c r="G41" s="86"/>
    </row>
    <row r="42" spans="1:7" ht="19.5" customHeight="1" x14ac:dyDescent="0.2">
      <c r="A42" s="87" t="s">
        <v>875</v>
      </c>
      <c r="B42" s="73"/>
      <c r="C42" s="88" t="s">
        <v>876</v>
      </c>
      <c r="D42" s="88" t="s">
        <v>876</v>
      </c>
      <c r="E42" s="89" t="s">
        <v>876</v>
      </c>
      <c r="F42" s="89" t="s">
        <v>876</v>
      </c>
      <c r="G42" s="88" t="s">
        <v>876</v>
      </c>
    </row>
    <row r="43" spans="1:7" ht="19.5" customHeight="1" x14ac:dyDescent="0.2">
      <c r="A43" s="90" t="s">
        <v>877</v>
      </c>
      <c r="B43" s="73"/>
      <c r="C43" s="91" t="s">
        <v>25</v>
      </c>
      <c r="D43" s="91" t="s">
        <v>25</v>
      </c>
      <c r="E43" s="89" t="s">
        <v>878</v>
      </c>
      <c r="F43" s="89" t="s">
        <v>878</v>
      </c>
      <c r="G43" s="91" t="s">
        <v>25</v>
      </c>
    </row>
    <row r="44" spans="1:7" ht="19.5" customHeight="1" x14ac:dyDescent="0.2">
      <c r="A44" s="87" t="s">
        <v>879</v>
      </c>
      <c r="B44" s="73"/>
      <c r="C44" s="88" t="s">
        <v>880</v>
      </c>
      <c r="D44" s="88" t="s">
        <v>880</v>
      </c>
      <c r="E44" s="89" t="s">
        <v>880</v>
      </c>
      <c r="F44" s="89" t="s">
        <v>880</v>
      </c>
      <c r="G44" s="91" t="s">
        <v>25</v>
      </c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0"/>
  <sheetViews>
    <sheetView zoomScaleNormal="100" workbookViewId="0">
      <pane ySplit="13" topLeftCell="A14" activePane="bottomLeft" state="frozen"/>
      <selection pane="bottomLeft" activeCell="E10" sqref="E10"/>
    </sheetView>
  </sheetViews>
  <sheetFormatPr baseColWidth="10" defaultColWidth="8.83203125" defaultRowHeight="15" x14ac:dyDescent="0.2"/>
  <cols>
    <col min="1" max="1" width="23" customWidth="1"/>
    <col min="2" max="2" width="28" customWidth="1"/>
    <col min="3" max="3" width="16" customWidth="1"/>
    <col min="4" max="4" width="14" customWidth="1"/>
    <col min="5" max="5" width="16" customWidth="1"/>
    <col min="6" max="6" width="12" customWidth="1"/>
    <col min="7" max="9" width="18" customWidth="1"/>
    <col min="10" max="10" width="14" customWidth="1"/>
    <col min="11" max="12" width="18" customWidth="1"/>
    <col min="13" max="13" width="28" customWidth="1"/>
    <col min="14" max="14" width="12" customWidth="1"/>
  </cols>
  <sheetData>
    <row r="1" spans="1:14" ht="21.75" customHeight="1" x14ac:dyDescent="0.25">
      <c r="A1" s="164" t="s">
        <v>887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</row>
    <row r="2" spans="1:14" ht="21.75" customHeight="1" x14ac:dyDescent="0.2">
      <c r="A2" s="165" t="s">
        <v>888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</row>
    <row r="3" spans="1:14" ht="21.75" customHeight="1" x14ac:dyDescent="0.2"/>
    <row r="4" spans="1:14" ht="21.75" customHeight="1" x14ac:dyDescent="0.2">
      <c r="A4" s="163" t="s">
        <v>889</v>
      </c>
      <c r="B4" s="146"/>
      <c r="C4" s="146"/>
      <c r="D4" s="146"/>
      <c r="F4" s="163" t="s">
        <v>890</v>
      </c>
      <c r="G4" s="146"/>
      <c r="H4" s="146"/>
      <c r="I4" s="146"/>
      <c r="J4" s="146"/>
      <c r="K4" s="146"/>
      <c r="L4" s="146"/>
      <c r="M4" s="146"/>
      <c r="N4" s="146"/>
    </row>
    <row r="5" spans="1:14" ht="27.75" customHeight="1" x14ac:dyDescent="0.2">
      <c r="A5" s="97" t="s">
        <v>891</v>
      </c>
      <c r="B5" s="98">
        <v>2.5999999999999999E-2</v>
      </c>
      <c r="F5" s="162" t="s">
        <v>892</v>
      </c>
      <c r="G5" s="146"/>
      <c r="H5" s="146"/>
      <c r="I5" s="146"/>
      <c r="J5" s="146"/>
      <c r="K5" s="146"/>
      <c r="L5" s="146"/>
      <c r="M5" s="146"/>
      <c r="N5" s="146"/>
    </row>
    <row r="6" spans="1:14" ht="27.75" customHeight="1" x14ac:dyDescent="0.2">
      <c r="A6" s="97" t="s">
        <v>893</v>
      </c>
      <c r="B6" s="98">
        <v>0.02</v>
      </c>
      <c r="F6" s="162" t="s">
        <v>894</v>
      </c>
      <c r="G6" s="146"/>
      <c r="H6" s="146"/>
      <c r="I6" s="146"/>
      <c r="J6" s="146"/>
      <c r="K6" s="146"/>
      <c r="L6" s="146"/>
      <c r="M6" s="146"/>
      <c r="N6" s="146"/>
    </row>
    <row r="7" spans="1:14" ht="27.75" customHeight="1" x14ac:dyDescent="0.2">
      <c r="A7" s="97" t="s">
        <v>895</v>
      </c>
      <c r="B7" s="98">
        <v>3.5000000000000003E-2</v>
      </c>
      <c r="F7" s="162" t="s">
        <v>896</v>
      </c>
      <c r="G7" s="146"/>
      <c r="H7" s="146"/>
      <c r="I7" s="146"/>
      <c r="J7" s="146"/>
      <c r="K7" s="146"/>
      <c r="L7" s="146"/>
      <c r="M7" s="146"/>
      <c r="N7" s="146"/>
    </row>
    <row r="8" spans="1:14" ht="27.75" customHeight="1" x14ac:dyDescent="0.2">
      <c r="A8" s="97" t="s">
        <v>897</v>
      </c>
      <c r="B8" s="98">
        <v>0.9</v>
      </c>
      <c r="F8" s="162" t="s">
        <v>898</v>
      </c>
      <c r="G8" s="146"/>
      <c r="H8" s="146"/>
      <c r="I8" s="146"/>
      <c r="J8" s="146"/>
      <c r="K8" s="146"/>
      <c r="L8" s="146"/>
      <c r="M8" s="146"/>
      <c r="N8" s="146"/>
    </row>
    <row r="9" spans="1:14" ht="21.75" customHeight="1" x14ac:dyDescent="0.2">
      <c r="A9" s="97" t="s">
        <v>899</v>
      </c>
      <c r="B9" s="99">
        <v>10</v>
      </c>
    </row>
    <row r="10" spans="1:14" ht="21.75" customHeight="1" x14ac:dyDescent="0.2">
      <c r="A10" s="97" t="s">
        <v>900</v>
      </c>
      <c r="B10" s="99">
        <v>100</v>
      </c>
    </row>
    <row r="11" spans="1:14" ht="21.75" customHeight="1" x14ac:dyDescent="0.2"/>
    <row r="12" spans="1:14" ht="21.75" customHeight="1" x14ac:dyDescent="0.2"/>
    <row r="13" spans="1:14" ht="30" customHeight="1" x14ac:dyDescent="0.2">
      <c r="A13" s="100" t="s">
        <v>901</v>
      </c>
      <c r="B13" s="100" t="s">
        <v>902</v>
      </c>
      <c r="C13" s="100" t="s">
        <v>903</v>
      </c>
      <c r="D13" s="100" t="s">
        <v>904</v>
      </c>
      <c r="E13" s="100" t="s">
        <v>905</v>
      </c>
      <c r="F13" s="100" t="s">
        <v>906</v>
      </c>
      <c r="G13" s="100" t="s">
        <v>907</v>
      </c>
      <c r="H13" s="100" t="s">
        <v>908</v>
      </c>
      <c r="I13" s="100" t="s">
        <v>909</v>
      </c>
      <c r="J13" s="100" t="s">
        <v>910</v>
      </c>
      <c r="K13" s="100" t="s">
        <v>911</v>
      </c>
      <c r="L13" s="100" t="s">
        <v>912</v>
      </c>
      <c r="M13" s="100" t="s">
        <v>7</v>
      </c>
      <c r="N13" s="100" t="s">
        <v>913</v>
      </c>
    </row>
    <row r="14" spans="1:14" ht="30" customHeight="1" x14ac:dyDescent="0.2">
      <c r="A14" s="96" t="s">
        <v>914</v>
      </c>
      <c r="B14" s="96" t="s">
        <v>915</v>
      </c>
      <c r="C14" s="101">
        <v>1200000</v>
      </c>
      <c r="D14" s="102">
        <v>0.85</v>
      </c>
      <c r="E14" s="103">
        <f t="shared" ref="E14:E23" si="0">C14*D14</f>
        <v>1020000</v>
      </c>
      <c r="F14" s="102">
        <f t="shared" ref="F14:F23" si="1">$B$5</f>
        <v>2.5999999999999999E-2</v>
      </c>
      <c r="G14" s="103">
        <f t="shared" ref="G14:G23" si="2">E14*F14</f>
        <v>26520</v>
      </c>
      <c r="H14" s="103">
        <f t="shared" ref="H14:H23" si="3">G14*(1-$B$8)</f>
        <v>2651.9999999999995</v>
      </c>
      <c r="I14" s="103">
        <f t="shared" ref="I14:I23" si="4">G14-H14</f>
        <v>23868</v>
      </c>
      <c r="J14" s="104">
        <f t="shared" ref="J14:J23" si="5">I14/C14</f>
        <v>1.9890000000000001E-2</v>
      </c>
      <c r="K14" s="103">
        <f t="shared" ref="K14:K23" si="6">I14*$B$9</f>
        <v>238680</v>
      </c>
      <c r="L14" s="103">
        <f t="shared" ref="L14:L23" si="7">I14*$B$10</f>
        <v>2386800</v>
      </c>
      <c r="M14" s="96" t="s">
        <v>916</v>
      </c>
      <c r="N14" s="96" t="s">
        <v>917</v>
      </c>
    </row>
    <row r="15" spans="1:14" ht="30" customHeight="1" x14ac:dyDescent="0.2">
      <c r="A15" s="95" t="s">
        <v>918</v>
      </c>
      <c r="B15" s="95" t="s">
        <v>919</v>
      </c>
      <c r="C15" s="101">
        <v>1000000</v>
      </c>
      <c r="D15" s="102">
        <v>0.8</v>
      </c>
      <c r="E15" s="105">
        <f t="shared" si="0"/>
        <v>800000</v>
      </c>
      <c r="F15" s="102">
        <f t="shared" si="1"/>
        <v>2.5999999999999999E-2</v>
      </c>
      <c r="G15" s="105">
        <f t="shared" si="2"/>
        <v>20800</v>
      </c>
      <c r="H15" s="105">
        <f t="shared" si="3"/>
        <v>2079.9999999999995</v>
      </c>
      <c r="I15" s="105">
        <f t="shared" si="4"/>
        <v>18720</v>
      </c>
      <c r="J15" s="106">
        <f t="shared" si="5"/>
        <v>1.8720000000000001E-2</v>
      </c>
      <c r="K15" s="105">
        <f t="shared" si="6"/>
        <v>187200</v>
      </c>
      <c r="L15" s="105">
        <f t="shared" si="7"/>
        <v>1872000</v>
      </c>
      <c r="M15" s="95" t="s">
        <v>920</v>
      </c>
      <c r="N15" s="95" t="s">
        <v>917</v>
      </c>
    </row>
    <row r="16" spans="1:14" ht="30" customHeight="1" x14ac:dyDescent="0.2">
      <c r="A16" s="96" t="s">
        <v>921</v>
      </c>
      <c r="B16" s="96" t="s">
        <v>922</v>
      </c>
      <c r="C16" s="101">
        <v>700000</v>
      </c>
      <c r="D16" s="102">
        <v>0.85</v>
      </c>
      <c r="E16" s="103">
        <f t="shared" si="0"/>
        <v>595000</v>
      </c>
      <c r="F16" s="102">
        <f t="shared" si="1"/>
        <v>2.5999999999999999E-2</v>
      </c>
      <c r="G16" s="103">
        <f t="shared" si="2"/>
        <v>15470</v>
      </c>
      <c r="H16" s="103">
        <f t="shared" si="3"/>
        <v>1546.9999999999995</v>
      </c>
      <c r="I16" s="103">
        <f t="shared" si="4"/>
        <v>13923</v>
      </c>
      <c r="J16" s="104">
        <f t="shared" si="5"/>
        <v>1.9890000000000001E-2</v>
      </c>
      <c r="K16" s="103">
        <f t="shared" si="6"/>
        <v>139230</v>
      </c>
      <c r="L16" s="103">
        <f t="shared" si="7"/>
        <v>1392300</v>
      </c>
      <c r="M16" s="96" t="s">
        <v>923</v>
      </c>
      <c r="N16" s="96" t="s">
        <v>917</v>
      </c>
    </row>
    <row r="17" spans="1:14" ht="30" customHeight="1" x14ac:dyDescent="0.2">
      <c r="A17" s="95" t="s">
        <v>924</v>
      </c>
      <c r="B17" s="95" t="s">
        <v>925</v>
      </c>
      <c r="C17" s="101">
        <v>600000</v>
      </c>
      <c r="D17" s="102">
        <v>0.75</v>
      </c>
      <c r="E17" s="105">
        <f t="shared" si="0"/>
        <v>450000</v>
      </c>
      <c r="F17" s="102">
        <f t="shared" si="1"/>
        <v>2.5999999999999999E-2</v>
      </c>
      <c r="G17" s="105">
        <f t="shared" si="2"/>
        <v>11700</v>
      </c>
      <c r="H17" s="105">
        <f t="shared" si="3"/>
        <v>1169.9999999999998</v>
      </c>
      <c r="I17" s="105">
        <f t="shared" si="4"/>
        <v>10530</v>
      </c>
      <c r="J17" s="106">
        <f t="shared" si="5"/>
        <v>1.755E-2</v>
      </c>
      <c r="K17" s="105">
        <f t="shared" si="6"/>
        <v>105300</v>
      </c>
      <c r="L17" s="105">
        <f t="shared" si="7"/>
        <v>1053000</v>
      </c>
      <c r="M17" s="95" t="s">
        <v>926</v>
      </c>
      <c r="N17" s="95" t="s">
        <v>917</v>
      </c>
    </row>
    <row r="18" spans="1:14" ht="30" customHeight="1" x14ac:dyDescent="0.2">
      <c r="A18" s="96" t="s">
        <v>927</v>
      </c>
      <c r="B18" s="96" t="s">
        <v>928</v>
      </c>
      <c r="C18" s="101">
        <v>1500000</v>
      </c>
      <c r="D18" s="102">
        <v>0.9</v>
      </c>
      <c r="E18" s="103">
        <f t="shared" si="0"/>
        <v>1350000</v>
      </c>
      <c r="F18" s="102">
        <f t="shared" si="1"/>
        <v>2.5999999999999999E-2</v>
      </c>
      <c r="G18" s="103">
        <f t="shared" si="2"/>
        <v>35100</v>
      </c>
      <c r="H18" s="103">
        <f t="shared" si="3"/>
        <v>3509.9999999999991</v>
      </c>
      <c r="I18" s="103">
        <f t="shared" si="4"/>
        <v>31590</v>
      </c>
      <c r="J18" s="104">
        <f t="shared" si="5"/>
        <v>2.1059999999999999E-2</v>
      </c>
      <c r="K18" s="103">
        <f t="shared" si="6"/>
        <v>315900</v>
      </c>
      <c r="L18" s="103">
        <f t="shared" si="7"/>
        <v>3159000</v>
      </c>
      <c r="M18" s="96" t="s">
        <v>929</v>
      </c>
      <c r="N18" s="96" t="s">
        <v>917</v>
      </c>
    </row>
    <row r="19" spans="1:14" ht="30" customHeight="1" x14ac:dyDescent="0.2">
      <c r="A19" s="95" t="s">
        <v>930</v>
      </c>
      <c r="B19" s="95" t="s">
        <v>931</v>
      </c>
      <c r="C19" s="101">
        <v>500000</v>
      </c>
      <c r="D19" s="102">
        <v>0.95</v>
      </c>
      <c r="E19" s="105">
        <f t="shared" si="0"/>
        <v>475000</v>
      </c>
      <c r="F19" s="102">
        <f t="shared" si="1"/>
        <v>2.5999999999999999E-2</v>
      </c>
      <c r="G19" s="105">
        <f t="shared" si="2"/>
        <v>12350</v>
      </c>
      <c r="H19" s="105">
        <f t="shared" si="3"/>
        <v>1234.9999999999998</v>
      </c>
      <c r="I19" s="105">
        <f t="shared" si="4"/>
        <v>11115</v>
      </c>
      <c r="J19" s="106">
        <f t="shared" si="5"/>
        <v>2.223E-2</v>
      </c>
      <c r="K19" s="105">
        <f t="shared" si="6"/>
        <v>111150</v>
      </c>
      <c r="L19" s="105">
        <f t="shared" si="7"/>
        <v>1111500</v>
      </c>
      <c r="M19" s="95" t="s">
        <v>932</v>
      </c>
      <c r="N19" s="95" t="s">
        <v>917</v>
      </c>
    </row>
    <row r="20" spans="1:14" ht="30" customHeight="1" x14ac:dyDescent="0.2">
      <c r="A20" s="96" t="s">
        <v>933</v>
      </c>
      <c r="B20" s="96" t="s">
        <v>934</v>
      </c>
      <c r="C20" s="101">
        <v>800000</v>
      </c>
      <c r="D20" s="102">
        <v>0.65</v>
      </c>
      <c r="E20" s="103">
        <f t="shared" si="0"/>
        <v>520000</v>
      </c>
      <c r="F20" s="102">
        <f t="shared" si="1"/>
        <v>2.5999999999999999E-2</v>
      </c>
      <c r="G20" s="103">
        <f t="shared" si="2"/>
        <v>13520</v>
      </c>
      <c r="H20" s="103">
        <f t="shared" si="3"/>
        <v>1351.9999999999998</v>
      </c>
      <c r="I20" s="103">
        <f t="shared" si="4"/>
        <v>12168</v>
      </c>
      <c r="J20" s="104">
        <f t="shared" si="5"/>
        <v>1.521E-2</v>
      </c>
      <c r="K20" s="103">
        <f t="shared" si="6"/>
        <v>121680</v>
      </c>
      <c r="L20" s="103">
        <f t="shared" si="7"/>
        <v>1216800</v>
      </c>
      <c r="M20" s="96" t="s">
        <v>935</v>
      </c>
      <c r="N20" s="96" t="s">
        <v>917</v>
      </c>
    </row>
    <row r="21" spans="1:14" ht="30" customHeight="1" x14ac:dyDescent="0.2">
      <c r="A21" s="95" t="s">
        <v>936</v>
      </c>
      <c r="B21" s="95" t="s">
        <v>937</v>
      </c>
      <c r="C21" s="101">
        <v>1500000</v>
      </c>
      <c r="D21" s="102">
        <v>0.85</v>
      </c>
      <c r="E21" s="105">
        <f t="shared" si="0"/>
        <v>1275000</v>
      </c>
      <c r="F21" s="102">
        <f t="shared" si="1"/>
        <v>2.5999999999999999E-2</v>
      </c>
      <c r="G21" s="105">
        <f t="shared" si="2"/>
        <v>33150</v>
      </c>
      <c r="H21" s="105">
        <f t="shared" si="3"/>
        <v>3314.9999999999991</v>
      </c>
      <c r="I21" s="105">
        <f t="shared" si="4"/>
        <v>29835</v>
      </c>
      <c r="J21" s="106">
        <f t="shared" si="5"/>
        <v>1.9890000000000001E-2</v>
      </c>
      <c r="K21" s="105">
        <f t="shared" si="6"/>
        <v>298350</v>
      </c>
      <c r="L21" s="105">
        <f t="shared" si="7"/>
        <v>2983500</v>
      </c>
      <c r="M21" s="95" t="s">
        <v>938</v>
      </c>
      <c r="N21" s="95" t="s">
        <v>917</v>
      </c>
    </row>
    <row r="22" spans="1:14" ht="30" customHeight="1" x14ac:dyDescent="0.2">
      <c r="A22" s="96" t="s">
        <v>939</v>
      </c>
      <c r="B22" s="96" t="s">
        <v>940</v>
      </c>
      <c r="C22" s="101">
        <v>10000000</v>
      </c>
      <c r="D22" s="102">
        <v>0.7</v>
      </c>
      <c r="E22" s="103">
        <f t="shared" si="0"/>
        <v>7000000</v>
      </c>
      <c r="F22" s="102">
        <f t="shared" si="1"/>
        <v>2.5999999999999999E-2</v>
      </c>
      <c r="G22" s="103">
        <f t="shared" si="2"/>
        <v>182000</v>
      </c>
      <c r="H22" s="103">
        <f t="shared" si="3"/>
        <v>18199.999999999996</v>
      </c>
      <c r="I22" s="103">
        <f t="shared" si="4"/>
        <v>163800</v>
      </c>
      <c r="J22" s="104">
        <f t="shared" si="5"/>
        <v>1.6379999999999999E-2</v>
      </c>
      <c r="K22" s="103">
        <f t="shared" si="6"/>
        <v>1638000</v>
      </c>
      <c r="L22" s="103">
        <f t="shared" si="7"/>
        <v>16380000</v>
      </c>
      <c r="M22" s="96" t="s">
        <v>941</v>
      </c>
      <c r="N22" s="96" t="s">
        <v>917</v>
      </c>
    </row>
    <row r="23" spans="1:14" ht="30" customHeight="1" x14ac:dyDescent="0.2">
      <c r="A23" s="95" t="s">
        <v>942</v>
      </c>
      <c r="B23" s="95" t="s">
        <v>943</v>
      </c>
      <c r="C23" s="101">
        <v>20000000</v>
      </c>
      <c r="D23" s="102">
        <v>0.95</v>
      </c>
      <c r="E23" s="105">
        <f t="shared" si="0"/>
        <v>19000000</v>
      </c>
      <c r="F23" s="102">
        <f t="shared" si="1"/>
        <v>2.5999999999999999E-2</v>
      </c>
      <c r="G23" s="105">
        <f t="shared" si="2"/>
        <v>494000</v>
      </c>
      <c r="H23" s="105">
        <f t="shared" si="3"/>
        <v>49399.999999999985</v>
      </c>
      <c r="I23" s="105">
        <f t="shared" si="4"/>
        <v>444600</v>
      </c>
      <c r="J23" s="106">
        <f t="shared" si="5"/>
        <v>2.223E-2</v>
      </c>
      <c r="K23" s="105">
        <f t="shared" si="6"/>
        <v>4446000</v>
      </c>
      <c r="L23" s="105">
        <f t="shared" si="7"/>
        <v>44460000</v>
      </c>
      <c r="M23" s="95" t="s">
        <v>944</v>
      </c>
      <c r="N23" s="95" t="s">
        <v>917</v>
      </c>
    </row>
    <row r="24" spans="1:14" ht="30" customHeight="1" x14ac:dyDescent="0.2">
      <c r="A24" s="107" t="s">
        <v>945</v>
      </c>
      <c r="B24" s="107"/>
      <c r="C24" s="108"/>
      <c r="D24" s="109"/>
      <c r="E24" s="108">
        <f>SUM(E14:E23)</f>
        <v>32485000</v>
      </c>
      <c r="F24" s="109">
        <f>SUM(F14:F23)</f>
        <v>0.26</v>
      </c>
      <c r="G24" s="108">
        <f>SUM(G14:G23)</f>
        <v>844610</v>
      </c>
      <c r="H24" s="108">
        <f>SUM(H14:H23)</f>
        <v>84460.999999999971</v>
      </c>
      <c r="I24" s="108">
        <f>SUM(I14:I23)</f>
        <v>760149</v>
      </c>
      <c r="J24" s="109">
        <f>I24/SUM(C14:C23)</f>
        <v>2.0109761904761905E-2</v>
      </c>
      <c r="K24" s="108">
        <f>SUM(K14:K23)</f>
        <v>7601490</v>
      </c>
      <c r="L24" s="108">
        <f>SUM(L14:L23)</f>
        <v>76014900</v>
      </c>
      <c r="M24" s="107"/>
    </row>
    <row r="25" spans="1:14" ht="21.75" customHeight="1" x14ac:dyDescent="0.2"/>
    <row r="26" spans="1:14" ht="21.75" customHeight="1" x14ac:dyDescent="0.2"/>
    <row r="27" spans="1:14" ht="21.75" customHeight="1" x14ac:dyDescent="0.2">
      <c r="A27" s="163" t="s">
        <v>946</v>
      </c>
      <c r="B27" s="146"/>
      <c r="C27" s="146"/>
      <c r="D27" s="146"/>
      <c r="E27" s="146"/>
      <c r="F27" s="146"/>
    </row>
    <row r="28" spans="1:14" ht="21.75" customHeight="1" x14ac:dyDescent="0.2">
      <c r="A28" s="166" t="s">
        <v>947</v>
      </c>
      <c r="B28" s="146"/>
      <c r="C28" s="146"/>
      <c r="D28" s="146"/>
      <c r="E28" s="110">
        <f>G24</f>
        <v>844610</v>
      </c>
    </row>
    <row r="29" spans="1:14" ht="21.75" customHeight="1" x14ac:dyDescent="0.2">
      <c r="A29" s="166" t="s">
        <v>948</v>
      </c>
      <c r="B29" s="146"/>
      <c r="C29" s="146"/>
      <c r="D29" s="146"/>
      <c r="E29" s="110">
        <f>I24</f>
        <v>760149</v>
      </c>
    </row>
    <row r="30" spans="1:14" ht="21.75" customHeight="1" x14ac:dyDescent="0.2">
      <c r="A30" s="166" t="s">
        <v>949</v>
      </c>
      <c r="B30" s="146"/>
      <c r="C30" s="146"/>
      <c r="D30" s="146"/>
      <c r="E30" s="111">
        <f>J24</f>
        <v>2.0109761904761905E-2</v>
      </c>
    </row>
  </sheetData>
  <mergeCells count="12">
    <mergeCell ref="A30:D30"/>
    <mergeCell ref="A27:F27"/>
    <mergeCell ref="A1:N1"/>
    <mergeCell ref="A2:N2"/>
    <mergeCell ref="A29:D29"/>
    <mergeCell ref="F7:N7"/>
    <mergeCell ref="F8:N8"/>
    <mergeCell ref="A28:D28"/>
    <mergeCell ref="F4:N4"/>
    <mergeCell ref="F5:N5"/>
    <mergeCell ref="A4:D4"/>
    <mergeCell ref="F6:N6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4"/>
  <sheetViews>
    <sheetView zoomScaleNormal="100" workbookViewId="0">
      <selection activeCell="E47" sqref="E47"/>
    </sheetView>
  </sheetViews>
  <sheetFormatPr baseColWidth="10" defaultColWidth="8.83203125" defaultRowHeight="15" x14ac:dyDescent="0.2"/>
  <cols>
    <col min="1" max="1" width="28" customWidth="1"/>
    <col min="2" max="2" width="35" customWidth="1"/>
    <col min="3" max="3" width="45" customWidth="1"/>
    <col min="4" max="4" width="18" customWidth="1"/>
    <col min="5" max="5" width="55" customWidth="1"/>
  </cols>
  <sheetData>
    <row r="1" spans="1:6" ht="18" customHeight="1" x14ac:dyDescent="0.2">
      <c r="A1" s="167" t="s">
        <v>951</v>
      </c>
      <c r="B1" s="146"/>
      <c r="C1" s="146"/>
      <c r="D1" s="146"/>
      <c r="E1" s="146"/>
      <c r="F1" s="146"/>
    </row>
    <row r="2" spans="1:6" x14ac:dyDescent="0.2">
      <c r="A2" s="171" t="s">
        <v>952</v>
      </c>
      <c r="B2" s="146"/>
      <c r="C2" s="146"/>
      <c r="D2" s="146"/>
      <c r="E2" s="146"/>
      <c r="F2" s="146"/>
    </row>
    <row r="4" spans="1:6" x14ac:dyDescent="0.2">
      <c r="A4" s="113" t="s">
        <v>901</v>
      </c>
      <c r="B4" s="113" t="s">
        <v>3</v>
      </c>
      <c r="C4" s="113" t="s">
        <v>953</v>
      </c>
      <c r="D4" s="113" t="s">
        <v>954</v>
      </c>
      <c r="E4" s="113" t="s">
        <v>955</v>
      </c>
    </row>
    <row r="5" spans="1:6" x14ac:dyDescent="0.2">
      <c r="A5" s="168" t="s">
        <v>956</v>
      </c>
      <c r="B5" s="169"/>
      <c r="C5" s="169"/>
      <c r="D5" s="169"/>
      <c r="E5" s="170"/>
    </row>
    <row r="6" spans="1:6" ht="28.5" customHeight="1" x14ac:dyDescent="0.2">
      <c r="A6" s="114" t="s">
        <v>956</v>
      </c>
      <c r="B6" s="115" t="s">
        <v>957</v>
      </c>
      <c r="C6" s="116" t="s">
        <v>958</v>
      </c>
      <c r="D6" s="117" t="s">
        <v>959</v>
      </c>
      <c r="E6" s="118" t="s">
        <v>960</v>
      </c>
    </row>
    <row r="7" spans="1:6" x14ac:dyDescent="0.2">
      <c r="A7" s="114" t="s">
        <v>956</v>
      </c>
      <c r="B7" s="115" t="s">
        <v>41</v>
      </c>
      <c r="C7" s="116" t="s">
        <v>961</v>
      </c>
      <c r="D7" s="117" t="s">
        <v>959</v>
      </c>
      <c r="E7" s="118" t="s">
        <v>962</v>
      </c>
    </row>
    <row r="8" spans="1:6" x14ac:dyDescent="0.2">
      <c r="A8" s="114" t="s">
        <v>956</v>
      </c>
      <c r="B8" s="115" t="s">
        <v>592</v>
      </c>
      <c r="C8" s="116" t="s">
        <v>963</v>
      </c>
      <c r="D8" s="119" t="s">
        <v>964</v>
      </c>
      <c r="E8" s="118" t="s">
        <v>965</v>
      </c>
    </row>
    <row r="9" spans="1:6" x14ac:dyDescent="0.2">
      <c r="A9" s="114" t="s">
        <v>956</v>
      </c>
      <c r="B9" s="115" t="s">
        <v>966</v>
      </c>
      <c r="C9" s="116" t="s">
        <v>967</v>
      </c>
      <c r="D9" s="117" t="s">
        <v>959</v>
      </c>
      <c r="E9" s="118" t="s">
        <v>968</v>
      </c>
    </row>
    <row r="10" spans="1:6" x14ac:dyDescent="0.2">
      <c r="A10" s="114" t="s">
        <v>956</v>
      </c>
      <c r="B10" s="115" t="s">
        <v>52</v>
      </c>
      <c r="C10" s="116" t="s">
        <v>969</v>
      </c>
      <c r="D10" s="117" t="s">
        <v>959</v>
      </c>
      <c r="E10" s="118" t="s">
        <v>970</v>
      </c>
    </row>
    <row r="11" spans="1:6" x14ac:dyDescent="0.2">
      <c r="A11" s="114" t="s">
        <v>956</v>
      </c>
      <c r="B11" s="115" t="s">
        <v>971</v>
      </c>
      <c r="C11" s="116" t="s">
        <v>969</v>
      </c>
      <c r="D11" s="117" t="s">
        <v>959</v>
      </c>
      <c r="E11" s="118" t="s">
        <v>972</v>
      </c>
    </row>
    <row r="12" spans="1:6" x14ac:dyDescent="0.2">
      <c r="A12" s="114" t="s">
        <v>956</v>
      </c>
      <c r="B12" s="115" t="s">
        <v>47</v>
      </c>
      <c r="C12" s="116" t="s">
        <v>973</v>
      </c>
      <c r="D12" s="119" t="s">
        <v>964</v>
      </c>
      <c r="E12" s="118" t="s">
        <v>974</v>
      </c>
    </row>
    <row r="13" spans="1:6" x14ac:dyDescent="0.2">
      <c r="A13" s="114" t="s">
        <v>956</v>
      </c>
      <c r="B13" s="115" t="s">
        <v>49</v>
      </c>
      <c r="C13" s="116" t="s">
        <v>973</v>
      </c>
      <c r="D13" s="119" t="s">
        <v>964</v>
      </c>
      <c r="E13" s="118" t="s">
        <v>975</v>
      </c>
    </row>
    <row r="14" spans="1:6" x14ac:dyDescent="0.2">
      <c r="A14" s="114" t="s">
        <v>956</v>
      </c>
      <c r="B14" s="115" t="s">
        <v>55</v>
      </c>
      <c r="C14" s="116" t="s">
        <v>969</v>
      </c>
      <c r="D14" s="117" t="s">
        <v>959</v>
      </c>
      <c r="E14" s="118" t="s">
        <v>976</v>
      </c>
    </row>
    <row r="15" spans="1:6" x14ac:dyDescent="0.2">
      <c r="A15" s="114" t="s">
        <v>956</v>
      </c>
      <c r="B15" s="115" t="s">
        <v>57</v>
      </c>
      <c r="C15" s="116" t="s">
        <v>969</v>
      </c>
      <c r="D15" s="117" t="s">
        <v>959</v>
      </c>
      <c r="E15" s="118" t="s">
        <v>977</v>
      </c>
    </row>
    <row r="16" spans="1:6" x14ac:dyDescent="0.2">
      <c r="A16" s="168" t="s">
        <v>978</v>
      </c>
      <c r="B16" s="169"/>
      <c r="C16" s="169"/>
      <c r="D16" s="169"/>
      <c r="E16" s="170"/>
    </row>
    <row r="17" spans="1:5" x14ac:dyDescent="0.2">
      <c r="A17" s="114" t="s">
        <v>978</v>
      </c>
      <c r="B17" s="115" t="s">
        <v>44</v>
      </c>
      <c r="C17" s="116" t="s">
        <v>979</v>
      </c>
      <c r="D17" s="117" t="s">
        <v>959</v>
      </c>
      <c r="E17" s="118" t="s">
        <v>980</v>
      </c>
    </row>
    <row r="18" spans="1:5" x14ac:dyDescent="0.2">
      <c r="A18" s="114" t="s">
        <v>978</v>
      </c>
      <c r="B18" s="115" t="s">
        <v>981</v>
      </c>
      <c r="C18" s="116" t="s">
        <v>969</v>
      </c>
      <c r="D18" s="117" t="s">
        <v>959</v>
      </c>
      <c r="E18" s="118" t="s">
        <v>982</v>
      </c>
    </row>
    <row r="19" spans="1:5" x14ac:dyDescent="0.2">
      <c r="A19" s="168" t="s">
        <v>983</v>
      </c>
      <c r="B19" s="169"/>
      <c r="C19" s="169"/>
      <c r="D19" s="169"/>
      <c r="E19" s="170"/>
    </row>
    <row r="20" spans="1:5" x14ac:dyDescent="0.2">
      <c r="A20" s="114" t="s">
        <v>983</v>
      </c>
      <c r="B20" s="115" t="s">
        <v>984</v>
      </c>
      <c r="C20" s="116" t="s">
        <v>985</v>
      </c>
      <c r="D20" s="117" t="s">
        <v>959</v>
      </c>
      <c r="E20" s="118" t="s">
        <v>986</v>
      </c>
    </row>
    <row r="21" spans="1:5" x14ac:dyDescent="0.2">
      <c r="A21" s="114" t="s">
        <v>983</v>
      </c>
      <c r="B21" s="115" t="s">
        <v>987</v>
      </c>
      <c r="C21" s="116" t="s">
        <v>988</v>
      </c>
      <c r="D21" s="117" t="s">
        <v>959</v>
      </c>
      <c r="E21" s="118" t="s">
        <v>989</v>
      </c>
    </row>
    <row r="22" spans="1:5" x14ac:dyDescent="0.2">
      <c r="A22" s="114" t="s">
        <v>983</v>
      </c>
      <c r="B22" s="115" t="s">
        <v>990</v>
      </c>
      <c r="C22" s="116" t="s">
        <v>969</v>
      </c>
      <c r="D22" s="117" t="s">
        <v>959</v>
      </c>
      <c r="E22" s="118" t="s">
        <v>991</v>
      </c>
    </row>
    <row r="23" spans="1:5" x14ac:dyDescent="0.2">
      <c r="A23" s="114" t="s">
        <v>983</v>
      </c>
      <c r="B23" s="115" t="s">
        <v>117</v>
      </c>
      <c r="C23" s="116" t="s">
        <v>969</v>
      </c>
      <c r="D23" s="117" t="s">
        <v>959</v>
      </c>
      <c r="E23" s="118" t="s">
        <v>992</v>
      </c>
    </row>
    <row r="24" spans="1:5" x14ac:dyDescent="0.2">
      <c r="A24" s="114" t="s">
        <v>983</v>
      </c>
      <c r="B24" s="115" t="s">
        <v>118</v>
      </c>
      <c r="C24" s="116" t="s">
        <v>993</v>
      </c>
      <c r="D24" s="117" t="s">
        <v>959</v>
      </c>
      <c r="E24" s="118" t="s">
        <v>994</v>
      </c>
    </row>
    <row r="25" spans="1:5" x14ac:dyDescent="0.2">
      <c r="A25" s="114" t="s">
        <v>983</v>
      </c>
      <c r="B25" s="115" t="s">
        <v>652</v>
      </c>
      <c r="C25" s="116" t="s">
        <v>993</v>
      </c>
      <c r="D25" s="117" t="s">
        <v>959</v>
      </c>
      <c r="E25" s="118" t="s">
        <v>995</v>
      </c>
    </row>
    <row r="26" spans="1:5" x14ac:dyDescent="0.2">
      <c r="A26" s="114" t="s">
        <v>983</v>
      </c>
      <c r="B26" s="115" t="s">
        <v>120</v>
      </c>
      <c r="C26" s="116" t="s">
        <v>993</v>
      </c>
      <c r="D26" s="117" t="s">
        <v>959</v>
      </c>
      <c r="E26" s="118" t="s">
        <v>996</v>
      </c>
    </row>
    <row r="27" spans="1:5" x14ac:dyDescent="0.2">
      <c r="A27" s="114" t="s">
        <v>983</v>
      </c>
      <c r="B27" s="115" t="s">
        <v>997</v>
      </c>
      <c r="C27" s="116" t="s">
        <v>985</v>
      </c>
      <c r="D27" s="117" t="s">
        <v>959</v>
      </c>
      <c r="E27" s="118" t="s">
        <v>998</v>
      </c>
    </row>
    <row r="28" spans="1:5" x14ac:dyDescent="0.2">
      <c r="A28" s="114" t="s">
        <v>983</v>
      </c>
      <c r="B28" s="115" t="s">
        <v>653</v>
      </c>
      <c r="C28" s="116" t="s">
        <v>969</v>
      </c>
      <c r="D28" s="117" t="s">
        <v>959</v>
      </c>
      <c r="E28" s="118" t="s">
        <v>999</v>
      </c>
    </row>
    <row r="29" spans="1:5" x14ac:dyDescent="0.2">
      <c r="A29" s="168" t="s">
        <v>1000</v>
      </c>
      <c r="B29" s="169"/>
      <c r="C29" s="169"/>
      <c r="D29" s="169"/>
      <c r="E29" s="170"/>
    </row>
    <row r="30" spans="1:5" ht="28.5" customHeight="1" x14ac:dyDescent="0.2">
      <c r="A30" s="114" t="s">
        <v>1000</v>
      </c>
      <c r="B30" s="115" t="s">
        <v>1001</v>
      </c>
      <c r="C30" s="116" t="s">
        <v>1002</v>
      </c>
      <c r="D30" s="117" t="s">
        <v>959</v>
      </c>
      <c r="E30" s="118" t="s">
        <v>1003</v>
      </c>
    </row>
    <row r="31" spans="1:5" x14ac:dyDescent="0.2">
      <c r="A31" s="114" t="s">
        <v>1000</v>
      </c>
      <c r="B31" s="115" t="s">
        <v>103</v>
      </c>
      <c r="C31" s="116" t="s">
        <v>969</v>
      </c>
      <c r="D31" s="117" t="s">
        <v>959</v>
      </c>
      <c r="E31" s="118" t="s">
        <v>1004</v>
      </c>
    </row>
    <row r="32" spans="1:5" x14ac:dyDescent="0.2">
      <c r="A32" s="114" t="s">
        <v>1000</v>
      </c>
      <c r="B32" s="115" t="s">
        <v>856</v>
      </c>
      <c r="C32" s="116" t="s">
        <v>993</v>
      </c>
      <c r="D32" s="117" t="s">
        <v>959</v>
      </c>
      <c r="E32" s="118" t="s">
        <v>1005</v>
      </c>
    </row>
    <row r="33" spans="1:5" x14ac:dyDescent="0.2">
      <c r="A33" s="114" t="s">
        <v>1000</v>
      </c>
      <c r="B33" s="115" t="s">
        <v>109</v>
      </c>
      <c r="C33" s="116" t="s">
        <v>1006</v>
      </c>
      <c r="D33" s="119" t="s">
        <v>964</v>
      </c>
      <c r="E33" s="118" t="s">
        <v>1007</v>
      </c>
    </row>
    <row r="34" spans="1:5" x14ac:dyDescent="0.2">
      <c r="A34" s="114" t="s">
        <v>1000</v>
      </c>
      <c r="B34" s="115" t="s">
        <v>614</v>
      </c>
      <c r="C34" s="116" t="s">
        <v>1008</v>
      </c>
      <c r="D34" s="120" t="s">
        <v>1009</v>
      </c>
      <c r="E34" s="118" t="s">
        <v>1010</v>
      </c>
    </row>
    <row r="35" spans="1:5" x14ac:dyDescent="0.2">
      <c r="A35" s="114" t="s">
        <v>1000</v>
      </c>
      <c r="B35" s="115" t="s">
        <v>1011</v>
      </c>
      <c r="C35" s="116" t="s">
        <v>1012</v>
      </c>
      <c r="D35" s="117" t="s">
        <v>959</v>
      </c>
      <c r="E35" s="118" t="s">
        <v>1013</v>
      </c>
    </row>
    <row r="36" spans="1:5" x14ac:dyDescent="0.2">
      <c r="A36" s="114" t="s">
        <v>1000</v>
      </c>
      <c r="B36" s="115" t="s">
        <v>111</v>
      </c>
      <c r="C36" s="116" t="s">
        <v>1014</v>
      </c>
      <c r="D36" s="120" t="s">
        <v>1009</v>
      </c>
      <c r="E36" s="118" t="s">
        <v>1015</v>
      </c>
    </row>
    <row r="37" spans="1:5" x14ac:dyDescent="0.2">
      <c r="A37" s="168" t="s">
        <v>1016</v>
      </c>
      <c r="B37" s="169"/>
      <c r="C37" s="169"/>
      <c r="D37" s="169"/>
      <c r="E37" s="170"/>
    </row>
    <row r="38" spans="1:5" x14ac:dyDescent="0.2">
      <c r="A38" s="114" t="s">
        <v>1016</v>
      </c>
      <c r="B38" s="115" t="s">
        <v>628</v>
      </c>
      <c r="C38" s="116" t="s">
        <v>1017</v>
      </c>
      <c r="D38" s="117" t="s">
        <v>959</v>
      </c>
      <c r="E38" s="118" t="s">
        <v>1018</v>
      </c>
    </row>
    <row r="39" spans="1:5" x14ac:dyDescent="0.2">
      <c r="A39" s="114" t="s">
        <v>1016</v>
      </c>
      <c r="B39" s="115" t="s">
        <v>69</v>
      </c>
      <c r="C39" s="116" t="s">
        <v>973</v>
      </c>
      <c r="D39" s="119" t="s">
        <v>964</v>
      </c>
      <c r="E39" s="118" t="s">
        <v>1019</v>
      </c>
    </row>
    <row r="40" spans="1:5" x14ac:dyDescent="0.2">
      <c r="A40" s="114" t="s">
        <v>1016</v>
      </c>
      <c r="B40" s="115" t="s">
        <v>71</v>
      </c>
      <c r="C40" s="116" t="s">
        <v>973</v>
      </c>
      <c r="D40" s="119" t="s">
        <v>964</v>
      </c>
      <c r="E40" s="118" t="s">
        <v>1020</v>
      </c>
    </row>
    <row r="41" spans="1:5" x14ac:dyDescent="0.2">
      <c r="A41" s="114" t="s">
        <v>1016</v>
      </c>
      <c r="B41" s="115" t="s">
        <v>73</v>
      </c>
      <c r="C41" s="116" t="s">
        <v>973</v>
      </c>
      <c r="D41" s="119" t="s">
        <v>964</v>
      </c>
      <c r="E41" s="118" t="s">
        <v>1021</v>
      </c>
    </row>
    <row r="42" spans="1:5" x14ac:dyDescent="0.2">
      <c r="A42" s="114" t="s">
        <v>1016</v>
      </c>
      <c r="B42" s="115" t="s">
        <v>1022</v>
      </c>
      <c r="C42" s="116" t="s">
        <v>973</v>
      </c>
      <c r="D42" s="119" t="s">
        <v>964</v>
      </c>
      <c r="E42" s="118" t="s">
        <v>1023</v>
      </c>
    </row>
    <row r="43" spans="1:5" x14ac:dyDescent="0.2">
      <c r="A43" s="114" t="s">
        <v>1016</v>
      </c>
      <c r="B43" s="115" t="s">
        <v>1024</v>
      </c>
      <c r="C43" s="116" t="s">
        <v>993</v>
      </c>
      <c r="D43" s="117" t="s">
        <v>959</v>
      </c>
      <c r="E43" s="118" t="s">
        <v>1025</v>
      </c>
    </row>
    <row r="44" spans="1:5" x14ac:dyDescent="0.2">
      <c r="A44" s="114" t="s">
        <v>1016</v>
      </c>
      <c r="B44" s="115" t="s">
        <v>78</v>
      </c>
      <c r="C44" s="116" t="s">
        <v>969</v>
      </c>
      <c r="D44" s="117" t="s">
        <v>959</v>
      </c>
      <c r="E44" s="118" t="s">
        <v>1026</v>
      </c>
    </row>
    <row r="45" spans="1:5" x14ac:dyDescent="0.2">
      <c r="A45" s="114" t="s">
        <v>1016</v>
      </c>
      <c r="B45" s="115" t="s">
        <v>1027</v>
      </c>
      <c r="C45" s="116" t="s">
        <v>993</v>
      </c>
      <c r="D45" s="117" t="s">
        <v>959</v>
      </c>
      <c r="E45" s="118" t="s">
        <v>1028</v>
      </c>
    </row>
    <row r="46" spans="1:5" x14ac:dyDescent="0.2">
      <c r="A46" s="168" t="s">
        <v>1029</v>
      </c>
      <c r="B46" s="169"/>
      <c r="C46" s="169"/>
      <c r="D46" s="169"/>
      <c r="E46" s="170"/>
    </row>
    <row r="47" spans="1:5" x14ac:dyDescent="0.2">
      <c r="A47" s="114" t="s">
        <v>1029</v>
      </c>
      <c r="B47" s="115" t="s">
        <v>1030</v>
      </c>
      <c r="C47" s="116" t="s">
        <v>1031</v>
      </c>
      <c r="D47" s="117" t="s">
        <v>959</v>
      </c>
      <c r="E47" s="118" t="s">
        <v>1032</v>
      </c>
    </row>
    <row r="48" spans="1:5" x14ac:dyDescent="0.2">
      <c r="A48" s="114" t="s">
        <v>1029</v>
      </c>
      <c r="B48" s="115" t="s">
        <v>849</v>
      </c>
      <c r="C48" s="116" t="s">
        <v>129</v>
      </c>
      <c r="D48" s="120" t="s">
        <v>1009</v>
      </c>
      <c r="E48" s="118" t="s">
        <v>1033</v>
      </c>
    </row>
    <row r="49" spans="1:5" x14ac:dyDescent="0.2">
      <c r="A49" s="114" t="s">
        <v>1029</v>
      </c>
      <c r="B49" s="115" t="s">
        <v>1034</v>
      </c>
      <c r="C49" s="116" t="s">
        <v>969</v>
      </c>
      <c r="D49" s="117" t="s">
        <v>959</v>
      </c>
      <c r="E49" s="118" t="s">
        <v>1035</v>
      </c>
    </row>
    <row r="50" spans="1:5" x14ac:dyDescent="0.2">
      <c r="A50" s="114" t="s">
        <v>1029</v>
      </c>
      <c r="B50" s="115" t="s">
        <v>667</v>
      </c>
      <c r="C50" s="116" t="s">
        <v>993</v>
      </c>
      <c r="D50" s="117" t="s">
        <v>959</v>
      </c>
      <c r="E50" s="118" t="s">
        <v>1036</v>
      </c>
    </row>
    <row r="51" spans="1:5" x14ac:dyDescent="0.2">
      <c r="A51" s="114" t="s">
        <v>1029</v>
      </c>
      <c r="B51" s="115" t="s">
        <v>639</v>
      </c>
      <c r="C51" s="116" t="s">
        <v>969</v>
      </c>
      <c r="D51" s="117" t="s">
        <v>959</v>
      </c>
      <c r="E51" s="118" t="s">
        <v>1037</v>
      </c>
    </row>
    <row r="52" spans="1:5" x14ac:dyDescent="0.2">
      <c r="A52" s="168" t="s">
        <v>1038</v>
      </c>
      <c r="B52" s="169"/>
      <c r="C52" s="169"/>
      <c r="D52" s="169"/>
      <c r="E52" s="170"/>
    </row>
    <row r="53" spans="1:5" x14ac:dyDescent="0.2">
      <c r="A53" s="114" t="s">
        <v>1038</v>
      </c>
      <c r="B53" s="115" t="s">
        <v>133</v>
      </c>
      <c r="C53" s="116" t="s">
        <v>973</v>
      </c>
      <c r="D53" s="119" t="s">
        <v>964</v>
      </c>
      <c r="E53" s="118" t="s">
        <v>1039</v>
      </c>
    </row>
    <row r="54" spans="1:5" x14ac:dyDescent="0.2">
      <c r="A54" s="114" t="s">
        <v>1038</v>
      </c>
      <c r="B54" s="115" t="s">
        <v>135</v>
      </c>
      <c r="C54" s="116" t="s">
        <v>973</v>
      </c>
      <c r="D54" s="119" t="s">
        <v>964</v>
      </c>
      <c r="E54" s="118" t="s">
        <v>1039</v>
      </c>
    </row>
    <row r="55" spans="1:5" x14ac:dyDescent="0.2">
      <c r="A55" s="114" t="s">
        <v>1038</v>
      </c>
      <c r="B55" s="115" t="s">
        <v>1040</v>
      </c>
      <c r="C55" s="116" t="s">
        <v>969</v>
      </c>
      <c r="D55" s="117" t="s">
        <v>959</v>
      </c>
      <c r="E55" s="118" t="s">
        <v>1041</v>
      </c>
    </row>
    <row r="56" spans="1:5" x14ac:dyDescent="0.2">
      <c r="A56" s="114" t="s">
        <v>1038</v>
      </c>
      <c r="B56" s="115" t="s">
        <v>1042</v>
      </c>
      <c r="C56" s="116" t="s">
        <v>969</v>
      </c>
      <c r="D56" s="117" t="s">
        <v>959</v>
      </c>
      <c r="E56" s="118" t="s">
        <v>1043</v>
      </c>
    </row>
    <row r="57" spans="1:5" x14ac:dyDescent="0.2">
      <c r="A57" s="114" t="s">
        <v>1038</v>
      </c>
      <c r="B57" s="115" t="s">
        <v>1044</v>
      </c>
      <c r="C57" s="116" t="s">
        <v>985</v>
      </c>
      <c r="D57" s="117" t="s">
        <v>959</v>
      </c>
      <c r="E57" s="118" t="s">
        <v>1045</v>
      </c>
    </row>
    <row r="58" spans="1:5" x14ac:dyDescent="0.2">
      <c r="A58" s="114" t="s">
        <v>1038</v>
      </c>
      <c r="B58" s="115" t="s">
        <v>136</v>
      </c>
      <c r="C58" s="116" t="s">
        <v>973</v>
      </c>
      <c r="D58" s="119" t="s">
        <v>964</v>
      </c>
      <c r="E58" s="118" t="s">
        <v>1046</v>
      </c>
    </row>
    <row r="59" spans="1:5" x14ac:dyDescent="0.2">
      <c r="A59" s="114" t="s">
        <v>1038</v>
      </c>
      <c r="B59" s="115" t="s">
        <v>138</v>
      </c>
      <c r="C59" s="116" t="s">
        <v>973</v>
      </c>
      <c r="D59" s="119" t="s">
        <v>964</v>
      </c>
      <c r="E59" s="118" t="s">
        <v>1047</v>
      </c>
    </row>
    <row r="60" spans="1:5" x14ac:dyDescent="0.2">
      <c r="A60" s="168" t="s">
        <v>397</v>
      </c>
      <c r="B60" s="169"/>
      <c r="C60" s="169"/>
      <c r="D60" s="169"/>
      <c r="E60" s="170"/>
    </row>
    <row r="61" spans="1:5" ht="28.5" customHeight="1" x14ac:dyDescent="0.2">
      <c r="A61" s="114" t="s">
        <v>397</v>
      </c>
      <c r="B61" s="115" t="s">
        <v>1048</v>
      </c>
      <c r="C61" s="116" t="s">
        <v>973</v>
      </c>
      <c r="D61" s="119" t="s">
        <v>964</v>
      </c>
      <c r="E61" s="118" t="s">
        <v>1049</v>
      </c>
    </row>
    <row r="62" spans="1:5" x14ac:dyDescent="0.2">
      <c r="A62" s="114" t="s">
        <v>397</v>
      </c>
      <c r="B62" s="115" t="s">
        <v>1050</v>
      </c>
      <c r="C62" s="116" t="s">
        <v>969</v>
      </c>
      <c r="D62" s="117" t="s">
        <v>959</v>
      </c>
      <c r="E62" s="118" t="s">
        <v>1051</v>
      </c>
    </row>
    <row r="63" spans="1:5" x14ac:dyDescent="0.2">
      <c r="A63" s="114" t="s">
        <v>397</v>
      </c>
      <c r="B63" s="115" t="s">
        <v>658</v>
      </c>
      <c r="C63" s="116" t="s">
        <v>993</v>
      </c>
      <c r="D63" s="117" t="s">
        <v>959</v>
      </c>
      <c r="E63" s="118" t="s">
        <v>1052</v>
      </c>
    </row>
    <row r="64" spans="1:5" x14ac:dyDescent="0.2">
      <c r="A64" s="114" t="s">
        <v>397</v>
      </c>
      <c r="B64" s="115" t="s">
        <v>152</v>
      </c>
      <c r="C64" s="116" t="s">
        <v>1006</v>
      </c>
      <c r="D64" s="119" t="s">
        <v>964</v>
      </c>
      <c r="E64" s="118" t="s">
        <v>1053</v>
      </c>
    </row>
    <row r="65" spans="1:5" x14ac:dyDescent="0.2">
      <c r="A65" s="114" t="s">
        <v>397</v>
      </c>
      <c r="B65" s="115" t="s">
        <v>154</v>
      </c>
      <c r="C65" s="116" t="s">
        <v>969</v>
      </c>
      <c r="D65" s="117" t="s">
        <v>959</v>
      </c>
      <c r="E65" s="118" t="s">
        <v>1054</v>
      </c>
    </row>
    <row r="66" spans="1:5" x14ac:dyDescent="0.2">
      <c r="A66" s="114" t="s">
        <v>397</v>
      </c>
      <c r="B66" s="115" t="s">
        <v>155</v>
      </c>
      <c r="C66" s="116" t="s">
        <v>1055</v>
      </c>
      <c r="D66" s="121" t="s">
        <v>89</v>
      </c>
      <c r="E66" s="118" t="s">
        <v>1056</v>
      </c>
    </row>
    <row r="67" spans="1:5" x14ac:dyDescent="0.2">
      <c r="A67" s="168" t="s">
        <v>432</v>
      </c>
      <c r="B67" s="169"/>
      <c r="C67" s="169"/>
      <c r="D67" s="169"/>
      <c r="E67" s="170"/>
    </row>
    <row r="68" spans="1:5" x14ac:dyDescent="0.2">
      <c r="A68" s="114" t="s">
        <v>432</v>
      </c>
      <c r="B68" s="115" t="s">
        <v>663</v>
      </c>
      <c r="C68" s="116" t="s">
        <v>973</v>
      </c>
      <c r="D68" s="119" t="s">
        <v>964</v>
      </c>
      <c r="E68" s="118" t="s">
        <v>1057</v>
      </c>
    </row>
    <row r="69" spans="1:5" x14ac:dyDescent="0.2">
      <c r="A69" s="114" t="s">
        <v>432</v>
      </c>
      <c r="B69" s="115" t="s">
        <v>1058</v>
      </c>
      <c r="C69" s="116" t="s">
        <v>969</v>
      </c>
      <c r="D69" s="117" t="s">
        <v>959</v>
      </c>
      <c r="E69" s="118" t="s">
        <v>1059</v>
      </c>
    </row>
    <row r="70" spans="1:5" x14ac:dyDescent="0.2">
      <c r="A70" s="114" t="s">
        <v>432</v>
      </c>
      <c r="B70" s="115" t="s">
        <v>1060</v>
      </c>
      <c r="C70" s="116" t="s">
        <v>969</v>
      </c>
      <c r="D70" s="117" t="s">
        <v>959</v>
      </c>
      <c r="E70" s="118" t="s">
        <v>1061</v>
      </c>
    </row>
    <row r="71" spans="1:5" x14ac:dyDescent="0.2">
      <c r="A71" s="114" t="s">
        <v>432</v>
      </c>
      <c r="B71" s="115" t="s">
        <v>163</v>
      </c>
      <c r="C71" s="116" t="s">
        <v>969</v>
      </c>
      <c r="D71" s="117" t="s">
        <v>959</v>
      </c>
      <c r="E71" s="118" t="s">
        <v>1062</v>
      </c>
    </row>
    <row r="72" spans="1:5" x14ac:dyDescent="0.2">
      <c r="A72" s="114" t="s">
        <v>432</v>
      </c>
      <c r="B72" s="115" t="s">
        <v>1063</v>
      </c>
      <c r="C72" s="116" t="s">
        <v>985</v>
      </c>
      <c r="D72" s="117" t="s">
        <v>959</v>
      </c>
      <c r="E72" s="118" t="s">
        <v>1064</v>
      </c>
    </row>
    <row r="73" spans="1:5" x14ac:dyDescent="0.2">
      <c r="A73" s="168" t="s">
        <v>1065</v>
      </c>
      <c r="B73" s="169"/>
      <c r="C73" s="169"/>
      <c r="D73" s="169"/>
      <c r="E73" s="170"/>
    </row>
    <row r="74" spans="1:5" x14ac:dyDescent="0.2">
      <c r="A74" s="114" t="s">
        <v>1065</v>
      </c>
      <c r="B74" s="115" t="s">
        <v>94</v>
      </c>
      <c r="C74" s="116" t="s">
        <v>1066</v>
      </c>
      <c r="D74" s="117" t="s">
        <v>959</v>
      </c>
      <c r="E74" s="118" t="s">
        <v>1067</v>
      </c>
    </row>
    <row r="75" spans="1:5" x14ac:dyDescent="0.2">
      <c r="A75" s="114" t="s">
        <v>1065</v>
      </c>
      <c r="B75" s="115" t="s">
        <v>96</v>
      </c>
      <c r="C75" s="116" t="s">
        <v>1006</v>
      </c>
      <c r="D75" s="119" t="s">
        <v>964</v>
      </c>
      <c r="E75" s="118" t="s">
        <v>1068</v>
      </c>
    </row>
    <row r="76" spans="1:5" x14ac:dyDescent="0.2">
      <c r="A76" s="114" t="s">
        <v>1065</v>
      </c>
      <c r="B76" s="115" t="s">
        <v>647</v>
      </c>
      <c r="C76" s="116" t="s">
        <v>969</v>
      </c>
      <c r="D76" s="117" t="s">
        <v>959</v>
      </c>
      <c r="E76" s="118" t="s">
        <v>1069</v>
      </c>
    </row>
    <row r="77" spans="1:5" x14ac:dyDescent="0.2">
      <c r="A77" s="168" t="s">
        <v>1070</v>
      </c>
      <c r="B77" s="169"/>
      <c r="C77" s="169"/>
      <c r="D77" s="169"/>
      <c r="E77" s="170"/>
    </row>
    <row r="78" spans="1:5" x14ac:dyDescent="0.2">
      <c r="A78" s="114" t="s">
        <v>1070</v>
      </c>
      <c r="B78" s="115" t="s">
        <v>1071</v>
      </c>
      <c r="C78" s="116" t="s">
        <v>1072</v>
      </c>
      <c r="D78" s="119" t="s">
        <v>964</v>
      </c>
      <c r="E78" s="118" t="s">
        <v>1073</v>
      </c>
    </row>
    <row r="79" spans="1:5" x14ac:dyDescent="0.2">
      <c r="A79" s="114" t="s">
        <v>1070</v>
      </c>
      <c r="B79" s="115" t="s">
        <v>672</v>
      </c>
      <c r="C79" s="116" t="s">
        <v>993</v>
      </c>
      <c r="D79" s="117" t="s">
        <v>959</v>
      </c>
      <c r="E79" s="118" t="s">
        <v>1074</v>
      </c>
    </row>
    <row r="80" spans="1:5" x14ac:dyDescent="0.2">
      <c r="A80" s="114" t="s">
        <v>1070</v>
      </c>
      <c r="B80" s="115" t="s">
        <v>179</v>
      </c>
      <c r="C80" s="116" t="s">
        <v>993</v>
      </c>
      <c r="D80" s="117" t="s">
        <v>959</v>
      </c>
      <c r="E80" s="118" t="s">
        <v>1075</v>
      </c>
    </row>
    <row r="81" spans="1:5" x14ac:dyDescent="0.2">
      <c r="A81" s="114" t="s">
        <v>1070</v>
      </c>
      <c r="B81" s="115" t="s">
        <v>174</v>
      </c>
      <c r="C81" s="116" t="s">
        <v>1076</v>
      </c>
      <c r="D81" s="117" t="s">
        <v>959</v>
      </c>
      <c r="E81" s="118" t="s">
        <v>1077</v>
      </c>
    </row>
    <row r="82" spans="1:5" x14ac:dyDescent="0.2">
      <c r="A82" s="168" t="s">
        <v>1078</v>
      </c>
      <c r="B82" s="169"/>
      <c r="C82" s="169"/>
      <c r="D82" s="169"/>
      <c r="E82" s="170"/>
    </row>
    <row r="83" spans="1:5" x14ac:dyDescent="0.2">
      <c r="A83" s="114" t="s">
        <v>1078</v>
      </c>
      <c r="B83" s="115" t="s">
        <v>167</v>
      </c>
      <c r="C83" s="116" t="s">
        <v>1079</v>
      </c>
      <c r="D83" s="119" t="s">
        <v>964</v>
      </c>
      <c r="E83" s="118" t="s">
        <v>1080</v>
      </c>
    </row>
    <row r="84" spans="1:5" x14ac:dyDescent="0.2">
      <c r="A84" s="114" t="s">
        <v>1078</v>
      </c>
      <c r="B84" s="115" t="s">
        <v>1081</v>
      </c>
      <c r="C84" s="116" t="s">
        <v>1082</v>
      </c>
      <c r="D84" s="117" t="s">
        <v>959</v>
      </c>
      <c r="E84" s="118" t="s">
        <v>1083</v>
      </c>
    </row>
    <row r="85" spans="1:5" x14ac:dyDescent="0.2">
      <c r="A85" s="114" t="s">
        <v>1078</v>
      </c>
      <c r="B85" s="115" t="s">
        <v>172</v>
      </c>
      <c r="C85" s="116" t="s">
        <v>1084</v>
      </c>
      <c r="D85" s="121" t="s">
        <v>89</v>
      </c>
      <c r="E85" s="118" t="s">
        <v>1085</v>
      </c>
    </row>
    <row r="86" spans="1:5" x14ac:dyDescent="0.2">
      <c r="A86" s="168" t="s">
        <v>1086</v>
      </c>
      <c r="B86" s="169"/>
      <c r="C86" s="169"/>
      <c r="D86" s="169"/>
      <c r="E86" s="170"/>
    </row>
    <row r="87" spans="1:5" x14ac:dyDescent="0.2">
      <c r="A87" s="114" t="s">
        <v>1086</v>
      </c>
      <c r="B87" s="115" t="s">
        <v>670</v>
      </c>
      <c r="C87" s="116" t="s">
        <v>993</v>
      </c>
      <c r="D87" s="117" t="s">
        <v>959</v>
      </c>
      <c r="E87" s="118" t="s">
        <v>1087</v>
      </c>
    </row>
    <row r="88" spans="1:5" x14ac:dyDescent="0.2">
      <c r="A88" s="114" t="s">
        <v>1086</v>
      </c>
      <c r="B88" s="115" t="s">
        <v>187</v>
      </c>
      <c r="C88" s="116" t="s">
        <v>993</v>
      </c>
      <c r="D88" s="117" t="s">
        <v>959</v>
      </c>
      <c r="E88" s="118" t="s">
        <v>1088</v>
      </c>
    </row>
    <row r="89" spans="1:5" x14ac:dyDescent="0.2">
      <c r="A89" s="114" t="s">
        <v>1086</v>
      </c>
      <c r="B89" s="115" t="s">
        <v>188</v>
      </c>
      <c r="C89" s="116" t="s">
        <v>1089</v>
      </c>
      <c r="D89" s="120" t="s">
        <v>1009</v>
      </c>
      <c r="E89" s="118" t="s">
        <v>1090</v>
      </c>
    </row>
    <row r="90" spans="1:5" x14ac:dyDescent="0.2">
      <c r="A90" s="114" t="s">
        <v>1086</v>
      </c>
      <c r="B90" s="115" t="s">
        <v>191</v>
      </c>
      <c r="C90" s="116" t="s">
        <v>1055</v>
      </c>
      <c r="D90" s="121" t="s">
        <v>89</v>
      </c>
      <c r="E90" s="118" t="s">
        <v>1091</v>
      </c>
    </row>
    <row r="91" spans="1:5" x14ac:dyDescent="0.2">
      <c r="A91" s="114" t="s">
        <v>1086</v>
      </c>
      <c r="B91" s="115" t="s">
        <v>192</v>
      </c>
      <c r="C91" s="116" t="s">
        <v>1055</v>
      </c>
      <c r="D91" s="121" t="s">
        <v>89</v>
      </c>
      <c r="E91" s="118" t="s">
        <v>1092</v>
      </c>
    </row>
    <row r="92" spans="1:5" x14ac:dyDescent="0.2">
      <c r="A92" s="168" t="s">
        <v>1093</v>
      </c>
      <c r="B92" s="169"/>
      <c r="C92" s="169"/>
      <c r="D92" s="169"/>
      <c r="E92" s="170"/>
    </row>
    <row r="93" spans="1:5" x14ac:dyDescent="0.2">
      <c r="A93" s="114" t="s">
        <v>1093</v>
      </c>
      <c r="B93" s="115" t="s">
        <v>195</v>
      </c>
      <c r="C93" s="116" t="s">
        <v>1055</v>
      </c>
      <c r="D93" s="121" t="s">
        <v>89</v>
      </c>
      <c r="E93" s="118" t="s">
        <v>1094</v>
      </c>
    </row>
    <row r="94" spans="1:5" x14ac:dyDescent="0.2">
      <c r="A94" s="114" t="s">
        <v>1093</v>
      </c>
      <c r="B94" s="115" t="s">
        <v>196</v>
      </c>
      <c r="C94" s="116" t="s">
        <v>1055</v>
      </c>
      <c r="D94" s="121" t="s">
        <v>89</v>
      </c>
      <c r="E94" s="118" t="s">
        <v>1095</v>
      </c>
    </row>
    <row r="95" spans="1:5" x14ac:dyDescent="0.2">
      <c r="A95" s="114" t="s">
        <v>1093</v>
      </c>
      <c r="B95" s="115" t="s">
        <v>1096</v>
      </c>
      <c r="C95" s="116" t="s">
        <v>1055</v>
      </c>
      <c r="D95" s="121" t="s">
        <v>89</v>
      </c>
      <c r="E95" s="118" t="s">
        <v>1097</v>
      </c>
    </row>
    <row r="96" spans="1:5" x14ac:dyDescent="0.2">
      <c r="A96" s="114" t="s">
        <v>1093</v>
      </c>
      <c r="B96" s="115" t="s">
        <v>1098</v>
      </c>
      <c r="C96" s="116" t="s">
        <v>1055</v>
      </c>
      <c r="D96" s="121" t="s">
        <v>89</v>
      </c>
      <c r="E96" s="118" t="s">
        <v>1099</v>
      </c>
    </row>
    <row r="97" spans="1:5" x14ac:dyDescent="0.2">
      <c r="A97" s="114" t="s">
        <v>1093</v>
      </c>
      <c r="B97" s="115" t="s">
        <v>199</v>
      </c>
      <c r="C97" s="116" t="s">
        <v>1055</v>
      </c>
      <c r="D97" s="121" t="s">
        <v>89</v>
      </c>
      <c r="E97" s="118" t="s">
        <v>1100</v>
      </c>
    </row>
    <row r="98" spans="1:5" x14ac:dyDescent="0.2">
      <c r="A98" s="114" t="s">
        <v>1093</v>
      </c>
      <c r="B98" s="115" t="s">
        <v>200</v>
      </c>
      <c r="C98" s="116" t="s">
        <v>1055</v>
      </c>
      <c r="D98" s="121" t="s">
        <v>89</v>
      </c>
      <c r="E98" s="118" t="s">
        <v>1101</v>
      </c>
    </row>
    <row r="99" spans="1:5" x14ac:dyDescent="0.2">
      <c r="A99" s="114" t="s">
        <v>1093</v>
      </c>
      <c r="B99" s="115" t="s">
        <v>201</v>
      </c>
      <c r="C99" s="116" t="s">
        <v>1055</v>
      </c>
      <c r="D99" s="121" t="s">
        <v>89</v>
      </c>
      <c r="E99" s="118" t="s">
        <v>1102</v>
      </c>
    </row>
    <row r="100" spans="1:5" x14ac:dyDescent="0.2">
      <c r="A100" s="114" t="s">
        <v>1093</v>
      </c>
      <c r="B100" s="115" t="s">
        <v>202</v>
      </c>
      <c r="C100" s="116" t="s">
        <v>1055</v>
      </c>
      <c r="D100" s="121" t="s">
        <v>89</v>
      </c>
      <c r="E100" s="118" t="s">
        <v>1103</v>
      </c>
    </row>
    <row r="101" spans="1:5" x14ac:dyDescent="0.2">
      <c r="A101" s="168" t="s">
        <v>1104</v>
      </c>
      <c r="B101" s="169"/>
      <c r="C101" s="169"/>
      <c r="D101" s="169"/>
      <c r="E101" s="170"/>
    </row>
    <row r="102" spans="1:5" x14ac:dyDescent="0.2">
      <c r="A102" s="114" t="s">
        <v>1104</v>
      </c>
      <c r="B102" s="115" t="s">
        <v>1105</v>
      </c>
      <c r="C102" s="116" t="s">
        <v>1006</v>
      </c>
      <c r="D102" s="119" t="s">
        <v>964</v>
      </c>
      <c r="E102" s="118" t="s">
        <v>1106</v>
      </c>
    </row>
    <row r="103" spans="1:5" x14ac:dyDescent="0.2">
      <c r="A103" s="114" t="s">
        <v>1104</v>
      </c>
      <c r="B103" s="115" t="s">
        <v>1107</v>
      </c>
      <c r="C103" s="116" t="s">
        <v>973</v>
      </c>
      <c r="D103" s="119" t="s">
        <v>964</v>
      </c>
      <c r="E103" s="118" t="s">
        <v>1108</v>
      </c>
    </row>
    <row r="104" spans="1:5" x14ac:dyDescent="0.2">
      <c r="A104" s="114" t="s">
        <v>1104</v>
      </c>
      <c r="B104" s="115" t="s">
        <v>65</v>
      </c>
      <c r="C104" s="116" t="s">
        <v>985</v>
      </c>
      <c r="D104" s="117" t="s">
        <v>959</v>
      </c>
      <c r="E104" s="118" t="s">
        <v>1109</v>
      </c>
    </row>
    <row r="105" spans="1:5" x14ac:dyDescent="0.2">
      <c r="A105" s="168" t="s">
        <v>467</v>
      </c>
      <c r="B105" s="169"/>
      <c r="C105" s="169"/>
      <c r="D105" s="169"/>
      <c r="E105" s="170"/>
    </row>
    <row r="106" spans="1:5" x14ac:dyDescent="0.2">
      <c r="A106" s="114" t="s">
        <v>467</v>
      </c>
      <c r="B106" s="115" t="s">
        <v>1110</v>
      </c>
      <c r="C106" s="116" t="s">
        <v>973</v>
      </c>
      <c r="D106" s="119" t="s">
        <v>964</v>
      </c>
      <c r="E106" s="118" t="s">
        <v>1111</v>
      </c>
    </row>
    <row r="107" spans="1:5" x14ac:dyDescent="0.2">
      <c r="A107" s="114" t="s">
        <v>467</v>
      </c>
      <c r="B107" s="115" t="s">
        <v>1112</v>
      </c>
      <c r="C107" s="116" t="s">
        <v>1113</v>
      </c>
      <c r="D107" s="117" t="s">
        <v>959</v>
      </c>
      <c r="E107" s="118" t="s">
        <v>1114</v>
      </c>
    </row>
    <row r="108" spans="1:5" x14ac:dyDescent="0.2">
      <c r="A108" s="114" t="s">
        <v>467</v>
      </c>
      <c r="B108" s="115" t="s">
        <v>208</v>
      </c>
      <c r="C108" s="116" t="s">
        <v>1055</v>
      </c>
      <c r="D108" s="121" t="s">
        <v>89</v>
      </c>
      <c r="E108" s="118" t="s">
        <v>1115</v>
      </c>
    </row>
    <row r="109" spans="1:5" x14ac:dyDescent="0.2">
      <c r="A109" s="168" t="s">
        <v>1116</v>
      </c>
      <c r="B109" s="169"/>
      <c r="C109" s="169"/>
      <c r="D109" s="169"/>
      <c r="E109" s="170"/>
    </row>
    <row r="110" spans="1:5" x14ac:dyDescent="0.2">
      <c r="A110" s="114" t="s">
        <v>1116</v>
      </c>
      <c r="B110" s="115" t="s">
        <v>1117</v>
      </c>
      <c r="C110" s="116" t="s">
        <v>1118</v>
      </c>
      <c r="D110" s="121" t="s">
        <v>89</v>
      </c>
      <c r="E110" s="118" t="s">
        <v>1119</v>
      </c>
    </row>
    <row r="111" spans="1:5" x14ac:dyDescent="0.2">
      <c r="A111" s="114" t="s">
        <v>1116</v>
      </c>
      <c r="B111" s="115" t="s">
        <v>1120</v>
      </c>
      <c r="C111" s="116" t="s">
        <v>618</v>
      </c>
      <c r="D111" s="120" t="s">
        <v>1009</v>
      </c>
      <c r="E111" s="118" t="s">
        <v>1121</v>
      </c>
    </row>
    <row r="112" spans="1:5" x14ac:dyDescent="0.2">
      <c r="A112" s="114" t="s">
        <v>1116</v>
      </c>
      <c r="B112" s="115" t="s">
        <v>1122</v>
      </c>
      <c r="C112" s="116" t="s">
        <v>618</v>
      </c>
      <c r="D112" s="120" t="s">
        <v>1009</v>
      </c>
      <c r="E112" s="118" t="s">
        <v>1123</v>
      </c>
    </row>
    <row r="113" spans="1:5" x14ac:dyDescent="0.2">
      <c r="A113" s="114" t="s">
        <v>1116</v>
      </c>
      <c r="B113" s="115" t="s">
        <v>695</v>
      </c>
      <c r="C113" s="116" t="s">
        <v>618</v>
      </c>
      <c r="D113" s="120" t="s">
        <v>1009</v>
      </c>
      <c r="E113" s="118" t="s">
        <v>1124</v>
      </c>
    </row>
    <row r="114" spans="1:5" x14ac:dyDescent="0.2">
      <c r="A114" s="114" t="s">
        <v>1116</v>
      </c>
      <c r="B114" s="115" t="s">
        <v>696</v>
      </c>
      <c r="C114" s="116" t="s">
        <v>618</v>
      </c>
      <c r="D114" s="120" t="s">
        <v>1009</v>
      </c>
      <c r="E114" s="118" t="s">
        <v>1125</v>
      </c>
    </row>
  </sheetData>
  <mergeCells count="19">
    <mergeCell ref="A109:E109"/>
    <mergeCell ref="A29:E29"/>
    <mergeCell ref="A52:E52"/>
    <mergeCell ref="A77:E77"/>
    <mergeCell ref="A73:E73"/>
    <mergeCell ref="A82:E82"/>
    <mergeCell ref="A60:E60"/>
    <mergeCell ref="A37:E37"/>
    <mergeCell ref="A46:E46"/>
    <mergeCell ref="A1:F1"/>
    <mergeCell ref="A19:E19"/>
    <mergeCell ref="A67:E67"/>
    <mergeCell ref="A92:E92"/>
    <mergeCell ref="A105:E105"/>
    <mergeCell ref="A101:E101"/>
    <mergeCell ref="A86:E86"/>
    <mergeCell ref="A5:E5"/>
    <mergeCell ref="A2:F2"/>
    <mergeCell ref="A16:E1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8"/>
  <sheetViews>
    <sheetView zoomScaleNormal="100" workbookViewId="0">
      <selection activeCell="F14" sqref="F14"/>
    </sheetView>
  </sheetViews>
  <sheetFormatPr baseColWidth="10" defaultColWidth="8.83203125" defaultRowHeight="15" x14ac:dyDescent="0.2"/>
  <cols>
    <col min="1" max="1" width="22" customWidth="1"/>
    <col min="2" max="2" width="24.1640625" customWidth="1"/>
    <col min="3" max="3" width="12" customWidth="1"/>
    <col min="4" max="4" width="60" customWidth="1"/>
  </cols>
  <sheetData>
    <row r="1" spans="1:4" ht="18" customHeight="1" x14ac:dyDescent="0.2">
      <c r="A1" s="167" t="s">
        <v>1126</v>
      </c>
      <c r="B1" s="146"/>
      <c r="C1" s="146"/>
      <c r="D1" s="146"/>
    </row>
    <row r="2" spans="1:4" x14ac:dyDescent="0.2">
      <c r="A2" s="171" t="s">
        <v>1127</v>
      </c>
      <c r="B2" s="146"/>
      <c r="C2" s="146"/>
      <c r="D2" s="146"/>
    </row>
    <row r="4" spans="1:4" x14ac:dyDescent="0.2">
      <c r="A4" s="122" t="s">
        <v>954</v>
      </c>
      <c r="B4" s="122" t="s">
        <v>1128</v>
      </c>
      <c r="C4" s="122" t="s">
        <v>1129</v>
      </c>
      <c r="D4" s="122" t="s">
        <v>1130</v>
      </c>
    </row>
    <row r="5" spans="1:4" ht="28.5" customHeight="1" x14ac:dyDescent="0.2">
      <c r="A5" s="123" t="s">
        <v>964</v>
      </c>
      <c r="B5" s="124">
        <v>21</v>
      </c>
      <c r="C5" s="125">
        <v>0.225806451612903</v>
      </c>
      <c r="D5" s="118" t="s">
        <v>1131</v>
      </c>
    </row>
    <row r="6" spans="1:4" ht="28.5" customHeight="1" x14ac:dyDescent="0.2">
      <c r="A6" s="126" t="s">
        <v>959</v>
      </c>
      <c r="B6" s="124">
        <v>50</v>
      </c>
      <c r="C6" s="125">
        <v>0.53763440860215095</v>
      </c>
      <c r="D6" s="118" t="s">
        <v>1132</v>
      </c>
    </row>
    <row r="7" spans="1:4" ht="28.5" customHeight="1" x14ac:dyDescent="0.2">
      <c r="A7" s="127" t="s">
        <v>1133</v>
      </c>
      <c r="B7" s="124">
        <v>8</v>
      </c>
      <c r="C7" s="125">
        <v>8.6021505376344107E-2</v>
      </c>
      <c r="D7" s="118" t="s">
        <v>1134</v>
      </c>
    </row>
    <row r="8" spans="1:4" ht="28.5" customHeight="1" x14ac:dyDescent="0.2">
      <c r="A8" s="128" t="s">
        <v>89</v>
      </c>
      <c r="B8" s="124">
        <v>14</v>
      </c>
      <c r="C8" s="125">
        <v>0.15053763440860199</v>
      </c>
      <c r="D8" s="118" t="s">
        <v>1135</v>
      </c>
    </row>
    <row r="10" spans="1:4" x14ac:dyDescent="0.2">
      <c r="A10" s="112" t="s">
        <v>1136</v>
      </c>
      <c r="B10" s="129">
        <v>93</v>
      </c>
    </row>
    <row r="12" spans="1:4" ht="15.75" customHeight="1" x14ac:dyDescent="0.2">
      <c r="A12" s="173" t="s">
        <v>1137</v>
      </c>
      <c r="B12" s="146"/>
      <c r="C12" s="146"/>
      <c r="D12" s="146"/>
    </row>
    <row r="13" spans="1:4" ht="30" customHeight="1" x14ac:dyDescent="0.2">
      <c r="A13" s="113" t="s">
        <v>1138</v>
      </c>
      <c r="B13" s="113" t="s">
        <v>1139</v>
      </c>
      <c r="C13" s="113" t="s">
        <v>1140</v>
      </c>
    </row>
    <row r="14" spans="1:4" ht="141" customHeight="1" x14ac:dyDescent="0.2">
      <c r="A14" s="115" t="s">
        <v>44</v>
      </c>
      <c r="B14" s="116" t="s">
        <v>1141</v>
      </c>
      <c r="C14" s="130" t="s">
        <v>1142</v>
      </c>
    </row>
    <row r="15" spans="1:4" ht="99" customHeight="1" x14ac:dyDescent="0.2">
      <c r="A15" s="115" t="s">
        <v>1143</v>
      </c>
      <c r="B15" s="116" t="s">
        <v>1144</v>
      </c>
      <c r="C15" s="130" t="s">
        <v>1142</v>
      </c>
    </row>
    <row r="16" spans="1:4" ht="126.75" customHeight="1" x14ac:dyDescent="0.2">
      <c r="A16" s="115" t="s">
        <v>1145</v>
      </c>
      <c r="B16" s="116" t="s">
        <v>1146</v>
      </c>
      <c r="C16" s="130" t="s">
        <v>1142</v>
      </c>
    </row>
    <row r="17" spans="1:4" ht="99" customHeight="1" x14ac:dyDescent="0.2">
      <c r="A17" s="115" t="s">
        <v>1147</v>
      </c>
      <c r="B17" s="116" t="s">
        <v>1148</v>
      </c>
      <c r="C17" s="130" t="s">
        <v>1142</v>
      </c>
    </row>
    <row r="18" spans="1:4" ht="84.75" customHeight="1" x14ac:dyDescent="0.2">
      <c r="A18" s="115" t="s">
        <v>1149</v>
      </c>
      <c r="B18" s="116" t="s">
        <v>1150</v>
      </c>
      <c r="C18" s="131" t="s">
        <v>1151</v>
      </c>
    </row>
    <row r="19" spans="1:4" ht="112.5" customHeight="1" x14ac:dyDescent="0.2">
      <c r="A19" s="115" t="s">
        <v>1152</v>
      </c>
      <c r="B19" s="116" t="s">
        <v>1153</v>
      </c>
      <c r="C19" s="131" t="s">
        <v>1151</v>
      </c>
    </row>
    <row r="20" spans="1:4" ht="112.5" customHeight="1" x14ac:dyDescent="0.2">
      <c r="A20" s="115" t="s">
        <v>1154</v>
      </c>
      <c r="B20" s="116" t="s">
        <v>1155</v>
      </c>
      <c r="C20" s="132" t="s">
        <v>1156</v>
      </c>
    </row>
    <row r="21" spans="1:4" ht="126.75" customHeight="1" x14ac:dyDescent="0.2">
      <c r="A21" s="115" t="s">
        <v>1157</v>
      </c>
      <c r="B21" s="116" t="s">
        <v>1158</v>
      </c>
      <c r="C21" s="132" t="s">
        <v>1156</v>
      </c>
    </row>
    <row r="22" spans="1:4" ht="70.5" customHeight="1" x14ac:dyDescent="0.2">
      <c r="A22" s="115" t="s">
        <v>1159</v>
      </c>
      <c r="B22" s="116" t="s">
        <v>1160</v>
      </c>
      <c r="C22" s="132" t="s">
        <v>1156</v>
      </c>
    </row>
    <row r="23" spans="1:4" ht="84.75" customHeight="1" x14ac:dyDescent="0.2">
      <c r="A23" s="115" t="s">
        <v>1161</v>
      </c>
      <c r="B23" s="116" t="s">
        <v>1162</v>
      </c>
      <c r="C23" s="132" t="s">
        <v>1156</v>
      </c>
    </row>
    <row r="26" spans="1:4" ht="15.75" customHeight="1" x14ac:dyDescent="0.2">
      <c r="A26" s="174" t="s">
        <v>1163</v>
      </c>
      <c r="B26" s="146"/>
      <c r="C26" s="146"/>
      <c r="D26" s="146"/>
    </row>
    <row r="27" spans="1:4" ht="15" customHeight="1" x14ac:dyDescent="0.2">
      <c r="A27" s="112" t="s">
        <v>881</v>
      </c>
      <c r="B27" s="172" t="s">
        <v>1164</v>
      </c>
      <c r="C27" s="146"/>
      <c r="D27" s="146"/>
    </row>
    <row r="28" spans="1:4" ht="15" customHeight="1" x14ac:dyDescent="0.2">
      <c r="A28" s="112" t="s">
        <v>882</v>
      </c>
      <c r="B28" s="172" t="s">
        <v>1165</v>
      </c>
      <c r="C28" s="146"/>
      <c r="D28" s="146"/>
    </row>
    <row r="29" spans="1:4" ht="15" customHeight="1" x14ac:dyDescent="0.2">
      <c r="A29" s="112" t="s">
        <v>883</v>
      </c>
      <c r="B29" s="172" t="s">
        <v>1166</v>
      </c>
      <c r="C29" s="146"/>
      <c r="D29" s="146"/>
    </row>
    <row r="30" spans="1:4" ht="15" customHeight="1" x14ac:dyDescent="0.2">
      <c r="A30" s="112" t="s">
        <v>884</v>
      </c>
      <c r="B30" s="172" t="s">
        <v>1167</v>
      </c>
      <c r="C30" s="146"/>
      <c r="D30" s="146"/>
    </row>
    <row r="31" spans="1:4" ht="15" customHeight="1" x14ac:dyDescent="0.2">
      <c r="A31" s="112" t="s">
        <v>885</v>
      </c>
      <c r="B31" s="172" t="s">
        <v>1168</v>
      </c>
      <c r="C31" s="146"/>
      <c r="D31" s="146"/>
    </row>
    <row r="32" spans="1:4" ht="15" customHeight="1" x14ac:dyDescent="0.2">
      <c r="A32" s="112" t="s">
        <v>886</v>
      </c>
      <c r="B32" s="172" t="s">
        <v>1169</v>
      </c>
      <c r="C32" s="146"/>
      <c r="D32" s="146"/>
    </row>
    <row r="33" spans="1:4" ht="15" customHeight="1" x14ac:dyDescent="0.2">
      <c r="A33" s="112" t="s">
        <v>1170</v>
      </c>
      <c r="B33" s="172" t="s">
        <v>1171</v>
      </c>
      <c r="C33" s="146"/>
      <c r="D33" s="146"/>
    </row>
    <row r="34" spans="1:4" ht="15" customHeight="1" x14ac:dyDescent="0.2">
      <c r="A34" s="112" t="s">
        <v>1172</v>
      </c>
      <c r="B34" s="172" t="s">
        <v>1173</v>
      </c>
      <c r="C34" s="146"/>
      <c r="D34" s="146"/>
    </row>
    <row r="35" spans="1:4" ht="15" customHeight="1" x14ac:dyDescent="0.2">
      <c r="A35" s="112" t="s">
        <v>1174</v>
      </c>
      <c r="B35" s="172" t="s">
        <v>1175</v>
      </c>
      <c r="C35" s="146"/>
      <c r="D35" s="146"/>
    </row>
    <row r="36" spans="1:4" ht="15" customHeight="1" x14ac:dyDescent="0.2">
      <c r="A36" s="112" t="s">
        <v>1176</v>
      </c>
      <c r="B36" s="172" t="s">
        <v>1177</v>
      </c>
      <c r="C36" s="146"/>
      <c r="D36" s="146"/>
    </row>
    <row r="37" spans="1:4" ht="15" customHeight="1" x14ac:dyDescent="0.2">
      <c r="A37" s="112" t="s">
        <v>1178</v>
      </c>
      <c r="B37" s="172" t="s">
        <v>1179</v>
      </c>
      <c r="C37" s="146"/>
      <c r="D37" s="146"/>
    </row>
    <row r="38" spans="1:4" ht="15" customHeight="1" x14ac:dyDescent="0.2">
      <c r="A38" s="112" t="s">
        <v>1180</v>
      </c>
      <c r="B38" s="172" t="s">
        <v>1181</v>
      </c>
      <c r="C38" s="146"/>
      <c r="D38" s="146"/>
    </row>
  </sheetData>
  <mergeCells count="16">
    <mergeCell ref="B38:D38"/>
    <mergeCell ref="B34:D34"/>
    <mergeCell ref="B33:D33"/>
    <mergeCell ref="B28:D28"/>
    <mergeCell ref="A1:D1"/>
    <mergeCell ref="B36:D36"/>
    <mergeCell ref="B37:D37"/>
    <mergeCell ref="B31:D31"/>
    <mergeCell ref="A12:D12"/>
    <mergeCell ref="B35:D35"/>
    <mergeCell ref="B32:D32"/>
    <mergeCell ref="A26:D26"/>
    <mergeCell ref="B27:D27"/>
    <mergeCell ref="B30:D30"/>
    <mergeCell ref="A2:D2"/>
    <mergeCell ref="B29:D2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Feature List</vt:lpstr>
      <vt:lpstr>Subscription Plans (4-Tier)</vt:lpstr>
      <vt:lpstr>Category Subscription Matrix</vt:lpstr>
      <vt:lpstr>v1 Subscription Plan-OLD</vt:lpstr>
      <vt:lpstr>Pricing Tiers-OLD</vt:lpstr>
      <vt:lpstr>Card Fee Model</vt:lpstr>
      <vt:lpstr>Capability Analysis</vt:lpstr>
      <vt:lpstr>Strategy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Ritzer</cp:lastModifiedBy>
  <cp:revision>2</cp:revision>
  <dcterms:created xsi:type="dcterms:W3CDTF">2026-03-01T02:33:30Z</dcterms:created>
  <dcterms:modified xsi:type="dcterms:W3CDTF">2026-05-18T14:18:36Z</dcterms:modified>
  <dc:language>en-US</dc:language>
</cp:coreProperties>
</file>